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8a8b400ed04ace/Documents/Analysis/"/>
    </mc:Choice>
  </mc:AlternateContent>
  <xr:revisionPtr revIDLastSave="1961" documentId="8_{76BCF1B8-FFA3-44AF-93C6-8E6F9F06969C}" xr6:coauthVersionLast="47" xr6:coauthVersionMax="47" xr10:uidLastSave="{264368A2-E3E8-47A4-96F0-1425DB3DE9DE}"/>
  <bookViews>
    <workbookView xWindow="11292" yWindow="3420" windowWidth="11544" windowHeight="11508" firstSheet="8" activeTab="9" xr2:uid="{12D48654-35A1-43C9-9435-86FBFF945CB5}"/>
  </bookViews>
  <sheets>
    <sheet name="microreact_metadata_final" sheetId="1" r:id="rId1"/>
    <sheet name="Sheet3" sheetId="12" r:id="rId2"/>
    <sheet name="Geographical view" sheetId="4" r:id="rId3"/>
    <sheet name="Sheet5" sheetId="14" r:id="rId4"/>
    <sheet name="Sheet1" sheetId="11" r:id="rId5"/>
    <sheet name="Prevalence" sheetId="2" r:id="rId6"/>
    <sheet name="Temporal view" sheetId="8" r:id="rId7"/>
    <sheet name="Sheet6" sheetId="15" r:id="rId8"/>
    <sheet name="AMR genes &amp; lineages" sheetId="9" r:id="rId9"/>
    <sheet name="Sheet7" sheetId="16" r:id="rId10"/>
    <sheet name="Sheet4" sheetId="13" r:id="rId11"/>
    <sheet name="Sheet2" sheetId="10" r:id="rId12"/>
  </sheets>
  <definedNames>
    <definedName name="_xlnm._FilterDatabase" localSheetId="0" hidden="1">microreact_metadata_final!$Y$1:$Y$373</definedName>
  </definedNames>
  <calcPr calcId="191029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CW376" i="1"/>
  <c r="CX376" i="1"/>
  <c r="CY376" i="1"/>
  <c r="CZ376" i="1"/>
  <c r="DA376" i="1"/>
  <c r="DB376" i="1"/>
  <c r="DC376" i="1"/>
  <c r="DD376" i="1"/>
  <c r="DE376" i="1"/>
  <c r="DF376" i="1"/>
  <c r="DG376" i="1"/>
  <c r="DH376" i="1"/>
  <c r="DI376" i="1"/>
  <c r="DJ376" i="1"/>
  <c r="DK376" i="1"/>
  <c r="DL376" i="1"/>
  <c r="DM376" i="1"/>
  <c r="DN376" i="1"/>
  <c r="DO376" i="1"/>
  <c r="DP376" i="1"/>
  <c r="DQ376" i="1"/>
  <c r="DR376" i="1"/>
  <c r="DS376" i="1"/>
  <c r="DT376" i="1"/>
  <c r="DU376" i="1"/>
  <c r="DV376" i="1"/>
  <c r="DW376" i="1"/>
  <c r="DX376" i="1"/>
  <c r="DY376" i="1"/>
  <c r="DZ376" i="1"/>
  <c r="EA376" i="1"/>
  <c r="EB376" i="1"/>
  <c r="EC376" i="1"/>
  <c r="ED376" i="1"/>
  <c r="EE376" i="1"/>
  <c r="EF376" i="1"/>
  <c r="EG376" i="1"/>
  <c r="EH376" i="1"/>
  <c r="EI376" i="1"/>
  <c r="EJ376" i="1"/>
  <c r="EK376" i="1"/>
  <c r="EL376" i="1"/>
  <c r="EM376" i="1"/>
  <c r="EN376" i="1"/>
  <c r="EO376" i="1"/>
  <c r="EP376" i="1"/>
  <c r="EQ376" i="1"/>
  <c r="ER376" i="1"/>
  <c r="ES376" i="1"/>
  <c r="ET376" i="1"/>
  <c r="EU376" i="1"/>
  <c r="EV376" i="1"/>
  <c r="EW376" i="1"/>
  <c r="EX376" i="1"/>
  <c r="EY376" i="1"/>
  <c r="EZ376" i="1"/>
  <c r="FA376" i="1"/>
  <c r="FB376" i="1"/>
  <c r="FC376" i="1"/>
  <c r="FD376" i="1"/>
  <c r="FE376" i="1"/>
  <c r="FF376" i="1"/>
  <c r="FG376" i="1"/>
  <c r="FH376" i="1"/>
  <c r="FI376" i="1"/>
  <c r="Z376" i="1"/>
</calcChain>
</file>

<file path=xl/sharedStrings.xml><?xml version="1.0" encoding="utf-8"?>
<sst xmlns="http://schemas.openxmlformats.org/spreadsheetml/2006/main" count="8059" uniqueCount="1467">
  <si>
    <t>Run Accessions</t>
  </si>
  <si>
    <t>Sample Accessions</t>
  </si>
  <si>
    <t>Study Accessions</t>
  </si>
  <si>
    <t>latitude</t>
  </si>
  <si>
    <t>longitude</t>
  </si>
  <si>
    <t>Organism Name</t>
  </si>
  <si>
    <t>Organism ID</t>
  </si>
  <si>
    <t>Species Name</t>
  </si>
  <si>
    <t>Species ID</t>
  </si>
  <si>
    <t>Genus Name</t>
  </si>
  <si>
    <t>Genus ID</t>
  </si>
  <si>
    <t>Reference Library</t>
  </si>
  <si>
    <t>Reference ID</t>
  </si>
  <si>
    <t>Matching Hashes</t>
  </si>
  <si>
    <t>p-Value</t>
  </si>
  <si>
    <t>Mash Distance</t>
  </si>
  <si>
    <t>Isolation source</t>
  </si>
  <si>
    <t>Host</t>
  </si>
  <si>
    <t>Study Title</t>
  </si>
  <si>
    <t>CENTER NAME</t>
  </si>
  <si>
    <t>City/region</t>
  </si>
  <si>
    <t>Country</t>
  </si>
  <si>
    <t>aac(3)-IId</t>
  </si>
  <si>
    <t>aac(3)-IIe</t>
  </si>
  <si>
    <t>aac(3)-Ia</t>
  </si>
  <si>
    <t>aac(6')-Ian</t>
  </si>
  <si>
    <t>aac(6')-Ib'</t>
  </si>
  <si>
    <t>aac(6')-Ib3</t>
  </si>
  <si>
    <t>aac(6')-Ib4</t>
  </si>
  <si>
    <t>aacA16</t>
  </si>
  <si>
    <t>aadA1</t>
  </si>
  <si>
    <t>aadA2</t>
  </si>
  <si>
    <t>ant(2'')-Ia</t>
  </si>
  <si>
    <t>ant(3'')-IIa</t>
  </si>
  <si>
    <t>aph(3'')-Ib</t>
  </si>
  <si>
    <t>aph(3')-Ia</t>
  </si>
  <si>
    <t>aph(3')-Ib</t>
  </si>
  <si>
    <t>aph(3')-VI</t>
  </si>
  <si>
    <t>aph(3')-VIa</t>
  </si>
  <si>
    <t>aph(3')-VIb</t>
  </si>
  <si>
    <t>aph(6)-Id</t>
  </si>
  <si>
    <t>armA</t>
  </si>
  <si>
    <t>arr-2</t>
  </si>
  <si>
    <t>arr-3</t>
  </si>
  <si>
    <t>blaADC</t>
  </si>
  <si>
    <t>blaADC-105</t>
  </si>
  <si>
    <t>blaADC-11</t>
  </si>
  <si>
    <t>blaADC-117</t>
  </si>
  <si>
    <t>blaADC-150</t>
  </si>
  <si>
    <t>blaADC-154</t>
  </si>
  <si>
    <t>blaADC-156</t>
  </si>
  <si>
    <t>blaADC-158</t>
  </si>
  <si>
    <t>blaADC-163</t>
  </si>
  <si>
    <t>blaADC-165</t>
  </si>
  <si>
    <t>blaADC-169</t>
  </si>
  <si>
    <t>blaADC-176</t>
  </si>
  <si>
    <t>blaADC-184</t>
  </si>
  <si>
    <t>blaADC-191</t>
  </si>
  <si>
    <t>blaADC-199</t>
  </si>
  <si>
    <t>blaADC-203</t>
  </si>
  <si>
    <t>blaADC-238</t>
  </si>
  <si>
    <t>blaADC-248</t>
  </si>
  <si>
    <t>blaADC-25</t>
  </si>
  <si>
    <t>blaADC-26</t>
  </si>
  <si>
    <t>blaADC-269</t>
  </si>
  <si>
    <t>blaADC-277</t>
  </si>
  <si>
    <t>blaADC-279</t>
  </si>
  <si>
    <t>blaADC-291</t>
  </si>
  <si>
    <t>blaADC-30</t>
  </si>
  <si>
    <t>blaADC-308</t>
  </si>
  <si>
    <t>blaADC-32</t>
  </si>
  <si>
    <t>blaADC-339</t>
  </si>
  <si>
    <t>blaADC-50</t>
  </si>
  <si>
    <t>blaADC-52</t>
  </si>
  <si>
    <t>blaADC-57</t>
  </si>
  <si>
    <t>blaADC-6</t>
  </si>
  <si>
    <t>blaADC-73</t>
  </si>
  <si>
    <t>blaADC-76</t>
  </si>
  <si>
    <t>blaADC-78</t>
  </si>
  <si>
    <t>blaADC-79</t>
  </si>
  <si>
    <t>blaADC-80</t>
  </si>
  <si>
    <t>blaADC-82</t>
  </si>
  <si>
    <t>blaADC-87</t>
  </si>
  <si>
    <t>blaADC-88</t>
  </si>
  <si>
    <t>blaADC-99</t>
  </si>
  <si>
    <t>blaCARB-16</t>
  </si>
  <si>
    <t>blaCARB-2</t>
  </si>
  <si>
    <t>blaCARB-50</t>
  </si>
  <si>
    <t>blaGES-11</t>
  </si>
  <si>
    <t>blaGES-35</t>
  </si>
  <si>
    <t>blaI</t>
  </si>
  <si>
    <t>blaMCA</t>
  </si>
  <si>
    <t>blaNDM-1</t>
  </si>
  <si>
    <t>blaOXA</t>
  </si>
  <si>
    <t>blaOXA-100</t>
  </si>
  <si>
    <t>blaOXA-104</t>
  </si>
  <si>
    <t>blaOXA-1076</t>
  </si>
  <si>
    <t>blaOXA-120</t>
  </si>
  <si>
    <t>blaOXA-121</t>
  </si>
  <si>
    <t>blaOXA-144</t>
  </si>
  <si>
    <t>blaOXA-180</t>
  </si>
  <si>
    <t>blaOXA-208</t>
  </si>
  <si>
    <t>blaOXA-217</t>
  </si>
  <si>
    <t>blaOXA-23</t>
  </si>
  <si>
    <t>blaOXA-314</t>
  </si>
  <si>
    <t>blaOXA-337</t>
  </si>
  <si>
    <t>blaOXA-378</t>
  </si>
  <si>
    <t>blaOXA-402</t>
  </si>
  <si>
    <t>blaOXA-411</t>
  </si>
  <si>
    <t>blaOXA-420</t>
  </si>
  <si>
    <t>blaOXA-441</t>
  </si>
  <si>
    <t>blaOXA-51</t>
  </si>
  <si>
    <t>blaOXA-58</t>
  </si>
  <si>
    <t>blaOXA-64</t>
  </si>
  <si>
    <t>blaOXA-65</t>
  </si>
  <si>
    <t>blaOXA-66</t>
  </si>
  <si>
    <t>blaOXA-67</t>
  </si>
  <si>
    <t>blaOXA-68</t>
  </si>
  <si>
    <t>blaOXA-69</t>
  </si>
  <si>
    <t>blaOXA-70</t>
  </si>
  <si>
    <t>blaOXA-71</t>
  </si>
  <si>
    <t>blaOXA-735</t>
  </si>
  <si>
    <t>blaOXA-78</t>
  </si>
  <si>
    <t>blaOXA-856</t>
  </si>
  <si>
    <t>blaOXA-90</t>
  </si>
  <si>
    <t>blaOXA-91</t>
  </si>
  <si>
    <t>blaOXA-94</t>
  </si>
  <si>
    <t>blaOXA-98</t>
  </si>
  <si>
    <t>blaPER-1</t>
  </si>
  <si>
    <t>blaPER-7</t>
  </si>
  <si>
    <t>blaR1</t>
  </si>
  <si>
    <t>blaRTG</t>
  </si>
  <si>
    <t>blaTEM-1</t>
  </si>
  <si>
    <t>blaZ</t>
  </si>
  <si>
    <t>ble</t>
  </si>
  <si>
    <t>catA1</t>
  </si>
  <si>
    <t>catB8</t>
  </si>
  <si>
    <t>cmlA1</t>
  </si>
  <si>
    <t>cmlA5</t>
  </si>
  <si>
    <t>dfrA1</t>
  </si>
  <si>
    <t>dfrA20</t>
  </si>
  <si>
    <t>dfrA40</t>
  </si>
  <si>
    <t>dfrA44</t>
  </si>
  <si>
    <t>dfrA45</t>
  </si>
  <si>
    <t>dfrA7</t>
  </si>
  <si>
    <t>dfrS1</t>
  </si>
  <si>
    <t>floR</t>
  </si>
  <si>
    <t>fos</t>
  </si>
  <si>
    <t>fosB</t>
  </si>
  <si>
    <t>lnu(A)</t>
  </si>
  <si>
    <t>mph(E)</t>
  </si>
  <si>
    <t>msr(E)</t>
  </si>
  <si>
    <t>qacE</t>
  </si>
  <si>
    <t>qacEdelta1</t>
  </si>
  <si>
    <t>sat2</t>
  </si>
  <si>
    <t>sul1</t>
  </si>
  <si>
    <t>sul2</t>
  </si>
  <si>
    <t>tet(39)</t>
  </si>
  <si>
    <t>tet(A)</t>
  </si>
  <si>
    <t>tet(B)</t>
  </si>
  <si>
    <t>tet(G)</t>
  </si>
  <si>
    <t>tet(X3)</t>
  </si>
  <si>
    <t>ST</t>
  </si>
  <si>
    <t>ERR10710700</t>
  </si>
  <si>
    <t>SAMEA112258678</t>
  </si>
  <si>
    <t>PRJEB58617</t>
  </si>
  <si>
    <t>Acinetobacter baumannii</t>
  </si>
  <si>
    <t>Acinetobacter</t>
  </si>
  <si>
    <t>NZ_JAAEFQ010000001.1</t>
  </si>
  <si>
    <t>963/1000</t>
  </si>
  <si>
    <t>Universite de Limoges</t>
  </si>
  <si>
    <t>Djibouti</t>
  </si>
  <si>
    <t>Republic of Djibouti</t>
  </si>
  <si>
    <t>ERR10710702</t>
  </si>
  <si>
    <t>SAMEA112258680</t>
  </si>
  <si>
    <t>956/1000</t>
  </si>
  <si>
    <t>ERR10710703</t>
  </si>
  <si>
    <t>SAMEA112258681</t>
  </si>
  <si>
    <t>971/1000</t>
  </si>
  <si>
    <t>ERR10710705</t>
  </si>
  <si>
    <t>SAMEA112258683</t>
  </si>
  <si>
    <t>ERR10710706</t>
  </si>
  <si>
    <t>SAMEA112258684</t>
  </si>
  <si>
    <t>NZ_JAAOSU010000001.1</t>
  </si>
  <si>
    <t>966/1000</t>
  </si>
  <si>
    <t>ERR10710707</t>
  </si>
  <si>
    <t>SAMEA112258685</t>
  </si>
  <si>
    <t>ERR10710709</t>
  </si>
  <si>
    <t>SAMEA112258687</t>
  </si>
  <si>
    <t>ERR10782663</t>
  </si>
  <si>
    <t>SAMEA112328298</t>
  </si>
  <si>
    <t>PRJEB58695</t>
  </si>
  <si>
    <t>NZ_RHYF01000100.1</t>
  </si>
  <si>
    <t>567/1000</t>
  </si>
  <si>
    <t xml:space="preserve">SEQAFRICA, a regional initiative of the UK Fleming Fund engages in whole genome sequencing of bacteria of antimicrobial resistance importance to support surveillance in Africa. </t>
  </si>
  <si>
    <t>Global Health Research Unit for the Genomic Surveillance of Antimicrobial Resistance, Ibadan</t>
  </si>
  <si>
    <t>Ibadan</t>
  </si>
  <si>
    <t>Nigeria</t>
  </si>
  <si>
    <t>-</t>
  </si>
  <si>
    <t>ERR10782668</t>
  </si>
  <si>
    <t>SAMEA112328303</t>
  </si>
  <si>
    <t>NZ_AVST01000001.1</t>
  </si>
  <si>
    <t>891/1000</t>
  </si>
  <si>
    <t>ERR10782671</t>
  </si>
  <si>
    <t>SAMEA112328305</t>
  </si>
  <si>
    <t>NZ_JAAGSF010000001.1</t>
  </si>
  <si>
    <t>905/1000</t>
  </si>
  <si>
    <t>ERR10782676</t>
  </si>
  <si>
    <t>SAMEA112328312</t>
  </si>
  <si>
    <t>NZ_CVLD01000001.1</t>
  </si>
  <si>
    <t>949/1000</t>
  </si>
  <si>
    <t>ERR10782680</t>
  </si>
  <si>
    <t>SAMEA112328316</t>
  </si>
  <si>
    <t>NZ_QCXT01000001.1</t>
  </si>
  <si>
    <t>701/1000</t>
  </si>
  <si>
    <t>ERR10782688</t>
  </si>
  <si>
    <t>SAMEA112328322</t>
  </si>
  <si>
    <t>NZ_WWCH01000001.1</t>
  </si>
  <si>
    <t>917/1000</t>
  </si>
  <si>
    <t>ERR10782695</t>
  </si>
  <si>
    <t>SAMEA112328326</t>
  </si>
  <si>
    <t>NZ_UFIQ01000049.1</t>
  </si>
  <si>
    <t>897/1000</t>
  </si>
  <si>
    <t>ERR10782717</t>
  </si>
  <si>
    <t>SAMEA112328354</t>
  </si>
  <si>
    <t>NZ_JMOD01000001.1</t>
  </si>
  <si>
    <t>786/1000</t>
  </si>
  <si>
    <t>ERR10782743</t>
  </si>
  <si>
    <t>SAMEA112328363</t>
  </si>
  <si>
    <t>NZ_NGHR01000009.1</t>
  </si>
  <si>
    <t>808/1000</t>
  </si>
  <si>
    <t>ERR10783123</t>
  </si>
  <si>
    <t>SAMEA112328301</t>
  </si>
  <si>
    <t>NZ_RFEE01000001.1</t>
  </si>
  <si>
    <t>556/1000</t>
  </si>
  <si>
    <t>ERR10783128</t>
  </si>
  <si>
    <t>SAMEA112328309</t>
  </si>
  <si>
    <t>NZ_NIWP01000085.1</t>
  </si>
  <si>
    <t>889/1000</t>
  </si>
  <si>
    <t>ERR10783132</t>
  </si>
  <si>
    <t>SAMEA112328311</t>
  </si>
  <si>
    <t>957/1000</t>
  </si>
  <si>
    <t>ERR10783138</t>
  </si>
  <si>
    <t>SAMEA112328319</t>
  </si>
  <si>
    <t>738/1000</t>
  </si>
  <si>
    <t>ERR10783144</t>
  </si>
  <si>
    <t>SAMEA112328327</t>
  </si>
  <si>
    <t>NZ_NGHQ01000032.1</t>
  </si>
  <si>
    <t>915/1000</t>
  </si>
  <si>
    <t>ERR10783153</t>
  </si>
  <si>
    <t>SAMEA112328335</t>
  </si>
  <si>
    <t>959/1000</t>
  </si>
  <si>
    <t>ERR10783156</t>
  </si>
  <si>
    <t>SAMEA112328338</t>
  </si>
  <si>
    <t>NZ_AFCZ02000003.1</t>
  </si>
  <si>
    <t>940/1000</t>
  </si>
  <si>
    <t>ERR10783159</t>
  </si>
  <si>
    <t>SAMEA112328341</t>
  </si>
  <si>
    <t>903/1000</t>
  </si>
  <si>
    <t>ERR10783163</t>
  </si>
  <si>
    <t>SAMEA112328347</t>
  </si>
  <si>
    <t>ERR10783166</t>
  </si>
  <si>
    <t>SAMEA112328348</t>
  </si>
  <si>
    <t>892/1000</t>
  </si>
  <si>
    <t>ERR10783178</t>
  </si>
  <si>
    <t>SAMEA112328413</t>
  </si>
  <si>
    <t>NZ_VHEI01000001.1</t>
  </si>
  <si>
    <t>914/1000</t>
  </si>
  <si>
    <t>ERR10787957</t>
  </si>
  <si>
    <t>SAMEA112328318</t>
  </si>
  <si>
    <t>732/1000</t>
  </si>
  <si>
    <t>ERR10787959</t>
  </si>
  <si>
    <t>SAMEA112328321</t>
  </si>
  <si>
    <t>784/1000</t>
  </si>
  <si>
    <t>ERR10787961</t>
  </si>
  <si>
    <t>SAMEA112328325</t>
  </si>
  <si>
    <t>911/1000</t>
  </si>
  <si>
    <t>ERR10788033</t>
  </si>
  <si>
    <t>SAMEA112328342</t>
  </si>
  <si>
    <t>NZ_AP014649.1</t>
  </si>
  <si>
    <t>ERR10788115</t>
  </si>
  <si>
    <t>SAMEA112328360</t>
  </si>
  <si>
    <t>NZ_VHDV01000001.1</t>
  </si>
  <si>
    <t>928/1000</t>
  </si>
  <si>
    <t>ERR10788118</t>
  </si>
  <si>
    <t>SAMEA112328386</t>
  </si>
  <si>
    <t>769/1000</t>
  </si>
  <si>
    <t>ERR10788121</t>
  </si>
  <si>
    <t>SAMEA112328411</t>
  </si>
  <si>
    <t>NZ_NXGU01000001.1</t>
  </si>
  <si>
    <t>978/1000</t>
  </si>
  <si>
    <t>ERR10794274</t>
  </si>
  <si>
    <t>SAMEA112328307</t>
  </si>
  <si>
    <t>896/1000</t>
  </si>
  <si>
    <t>ERR10794308</t>
  </si>
  <si>
    <t>SAMEA112328330</t>
  </si>
  <si>
    <t>ERR10794316</t>
  </si>
  <si>
    <t>SAMEA112328340</t>
  </si>
  <si>
    <t>ERR10794327</t>
  </si>
  <si>
    <t>SAMEA112328350</t>
  </si>
  <si>
    <t>ERR10802836</t>
  </si>
  <si>
    <t>SAMEA112328317</t>
  </si>
  <si>
    <t>739/1000</t>
  </si>
  <si>
    <t>ERR10802837</t>
  </si>
  <si>
    <t>SAMEA112328343</t>
  </si>
  <si>
    <t>909/1000</t>
  </si>
  <si>
    <t>ERR10805899</t>
  </si>
  <si>
    <t>SAMEA112328384</t>
  </si>
  <si>
    <t>ERR10808103</t>
  </si>
  <si>
    <t>SAMEA112328310</t>
  </si>
  <si>
    <t>932/1000</t>
  </si>
  <si>
    <t>ERR10808115</t>
  </si>
  <si>
    <t>SAMEA112328332</t>
  </si>
  <si>
    <t>713/1000</t>
  </si>
  <si>
    <t>ERR10808136</t>
  </si>
  <si>
    <t>SAMEA112328410</t>
  </si>
  <si>
    <t>947/1000</t>
  </si>
  <si>
    <t>ERR10809417</t>
  </si>
  <si>
    <t>SAMEA112328333</t>
  </si>
  <si>
    <t>ERR10809418</t>
  </si>
  <si>
    <t>SAMEA112328351</t>
  </si>
  <si>
    <t>NZ_BKDD01000001.1</t>
  </si>
  <si>
    <t>779/1000</t>
  </si>
  <si>
    <t>ERR10812834</t>
  </si>
  <si>
    <t>SAMEA112328297</t>
  </si>
  <si>
    <t>NZ_VNWQ01000001.1</t>
  </si>
  <si>
    <t>762/1000</t>
  </si>
  <si>
    <t>ERR10812835</t>
  </si>
  <si>
    <t>SAMEA112328304</t>
  </si>
  <si>
    <t>NZ_CP021345.1</t>
  </si>
  <si>
    <t>962/1000</t>
  </si>
  <si>
    <t>ERR10812836</t>
  </si>
  <si>
    <t>SAMEA112328308</t>
  </si>
  <si>
    <t>958/1000</t>
  </si>
  <si>
    <t>ERR10812837</t>
  </si>
  <si>
    <t>SAMEA112328314</t>
  </si>
  <si>
    <t>NZ_KK211418.1</t>
  </si>
  <si>
    <t>856/1000</t>
  </si>
  <si>
    <t>ERR10812838</t>
  </si>
  <si>
    <t>SAMEA112328315</t>
  </si>
  <si>
    <t>NZ_CP018677.1</t>
  </si>
  <si>
    <t>865/1000</t>
  </si>
  <si>
    <t>ERR10812839</t>
  </si>
  <si>
    <t>SAMEA112328323</t>
  </si>
  <si>
    <t>916/1000</t>
  </si>
  <si>
    <t>ERR10812840</t>
  </si>
  <si>
    <t>SAMEA112328328</t>
  </si>
  <si>
    <t>894/1000</t>
  </si>
  <si>
    <t>ERR10812841</t>
  </si>
  <si>
    <t>SAMEA112328331</t>
  </si>
  <si>
    <t>NZ_UFJT01000029.1</t>
  </si>
  <si>
    <t>491/1000</t>
  </si>
  <si>
    <t>ERR10812867</t>
  </si>
  <si>
    <t>SAMEA112328339</t>
  </si>
  <si>
    <t>935/1000</t>
  </si>
  <si>
    <t>ERR10812868</t>
  </si>
  <si>
    <t>SAMEA112328349</t>
  </si>
  <si>
    <t>ERR10812869</t>
  </si>
  <si>
    <t>SAMEA112328358</t>
  </si>
  <si>
    <t>NZ_NGCF01000068.1</t>
  </si>
  <si>
    <t>ERR10812870</t>
  </si>
  <si>
    <t>SAMEA112328361</t>
  </si>
  <si>
    <t>809/1000</t>
  </si>
  <si>
    <t>ERR10812871</t>
  </si>
  <si>
    <t>SAMEA112328385</t>
  </si>
  <si>
    <t>ERR10812872</t>
  </si>
  <si>
    <t>SAMEA112328412</t>
  </si>
  <si>
    <t>NZ_MSPL01000001.1</t>
  </si>
  <si>
    <t>532/1000</t>
  </si>
  <si>
    <t>ERR10812873</t>
  </si>
  <si>
    <t>SAMEA112328415</t>
  </si>
  <si>
    <t>NZ_ANND01000001.1</t>
  </si>
  <si>
    <t>559/1000</t>
  </si>
  <si>
    <t>ERR10820997</t>
  </si>
  <si>
    <t>SAMEA112328306</t>
  </si>
  <si>
    <t>931/1000</t>
  </si>
  <si>
    <t>ERR10852925</t>
  </si>
  <si>
    <t>SAMEA112328299</t>
  </si>
  <si>
    <t>ERR10852926</t>
  </si>
  <si>
    <t>SAMEA112328300</t>
  </si>
  <si>
    <t>ERR10852929</t>
  </si>
  <si>
    <t>SAMEA112328302</t>
  </si>
  <si>
    <t>893/1000</t>
  </si>
  <si>
    <t>ERR10852931</t>
  </si>
  <si>
    <t>SAMEA112328313</t>
  </si>
  <si>
    <t>849/1000</t>
  </si>
  <si>
    <t>ERR10852932</t>
  </si>
  <si>
    <t>SAMEA112328320</t>
  </si>
  <si>
    <t>NZ_NGDS01000139.1</t>
  </si>
  <si>
    <t>ERR10852933</t>
  </si>
  <si>
    <t>SAMEA112328324</t>
  </si>
  <si>
    <t>976/1000</t>
  </si>
  <si>
    <t>ERR10852935</t>
  </si>
  <si>
    <t>SAMEA112328329</t>
  </si>
  <si>
    <t>533/1000</t>
  </si>
  <si>
    <t>ERR10852936</t>
  </si>
  <si>
    <t>SAMEA112328334</t>
  </si>
  <si>
    <t>948/1000</t>
  </si>
  <si>
    <t>ERR10852938</t>
  </si>
  <si>
    <t>SAMEA112328336</t>
  </si>
  <si>
    <t>842/1000</t>
  </si>
  <si>
    <t>ERR10852993</t>
  </si>
  <si>
    <t>SAMEA112328337</t>
  </si>
  <si>
    <t>863/1000</t>
  </si>
  <si>
    <t>ERR10852995</t>
  </si>
  <si>
    <t>SAMEA112328344</t>
  </si>
  <si>
    <t>960/1000</t>
  </si>
  <si>
    <t>ERR10852996</t>
  </si>
  <si>
    <t>SAMEA112328352</t>
  </si>
  <si>
    <t>725/1000</t>
  </si>
  <si>
    <t>ERR10853648</t>
  </si>
  <si>
    <t>SAMEA112328353</t>
  </si>
  <si>
    <t>NZ_JAAGTI010000001.1</t>
  </si>
  <si>
    <t>ERR10854234</t>
  </si>
  <si>
    <t>SAMEA112328355</t>
  </si>
  <si>
    <t>788/1000</t>
  </si>
  <si>
    <t>ERR10854472</t>
  </si>
  <si>
    <t>SAMEA112328356</t>
  </si>
  <si>
    <t>804/1000</t>
  </si>
  <si>
    <t>ERR10854473</t>
  </si>
  <si>
    <t>SAMEA112328357</t>
  </si>
  <si>
    <t>ERR10854474</t>
  </si>
  <si>
    <t>SAMEA112328359</t>
  </si>
  <si>
    <t>ERR10854475</t>
  </si>
  <si>
    <t>SAMEA112328362</t>
  </si>
  <si>
    <t>NZ_VHFN01000001.1</t>
  </si>
  <si>
    <t>943/1000</t>
  </si>
  <si>
    <t>ERR10854476</t>
  </si>
  <si>
    <t>SAMEA112328387</t>
  </si>
  <si>
    <t>NZ_UFKC01000171.1</t>
  </si>
  <si>
    <t>877/1000</t>
  </si>
  <si>
    <t>ERR10854480</t>
  </si>
  <si>
    <t>SAMEA112328388</t>
  </si>
  <si>
    <t>950/1000</t>
  </si>
  <si>
    <t>ERR10854483</t>
  </si>
  <si>
    <t>SAMEA112328409</t>
  </si>
  <si>
    <t>ERR10854484</t>
  </si>
  <si>
    <t>SAMEA112328414</t>
  </si>
  <si>
    <t>555/1000</t>
  </si>
  <si>
    <t>ERR3569448</t>
  </si>
  <si>
    <t>SAMEA5987517</t>
  </si>
  <si>
    <t>PRJEB34692</t>
  </si>
  <si>
    <t>NZ_CACRXQ010000001.1</t>
  </si>
  <si>
    <t>1000/1000</t>
  </si>
  <si>
    <t>Human</t>
  </si>
  <si>
    <t>Colistin resistant Acinetobacter baumannii in Cape Town, South Africa</t>
  </si>
  <si>
    <t>Universitaetsklinikum Freiburg</t>
  </si>
  <si>
    <t>Cape Town</t>
  </si>
  <si>
    <t>South Africa</t>
  </si>
  <si>
    <t>ERR3569449</t>
  </si>
  <si>
    <t>SAMEA5987518</t>
  </si>
  <si>
    <t>NZ_CACRYG010000001.1</t>
  </si>
  <si>
    <t>ERR3569450</t>
  </si>
  <si>
    <t>SAMEA5987519</t>
  </si>
  <si>
    <t>ERR3569451</t>
  </si>
  <si>
    <t>SAMEA5987520</t>
  </si>
  <si>
    <t>999/1000</t>
  </si>
  <si>
    <t>2.38274e-05</t>
  </si>
  <si>
    <t>ERR4436595</t>
  </si>
  <si>
    <t>SAMEA7171649</t>
  </si>
  <si>
    <t>PRJEB27899</t>
  </si>
  <si>
    <t>NZ_VHEH01000001.1</t>
  </si>
  <si>
    <t>918/1000</t>
  </si>
  <si>
    <t>Morocco</t>
  </si>
  <si>
    <t>ERR4436596</t>
  </si>
  <si>
    <t>SAMEA7171650</t>
  </si>
  <si>
    <t>NZ_VARI01000001.1</t>
  </si>
  <si>
    <t>988/1000</t>
  </si>
  <si>
    <t>ERR4436597</t>
  </si>
  <si>
    <t>SAMEA7171651</t>
  </si>
  <si>
    <t>NZ_VARJ01000001.1</t>
  </si>
  <si>
    <t>986/1000</t>
  </si>
  <si>
    <t>ERR4436754</t>
  </si>
  <si>
    <t>SAMEA7171860</t>
  </si>
  <si>
    <t>NZ_PRHX01000001.1</t>
  </si>
  <si>
    <t>912/1000</t>
  </si>
  <si>
    <t>Egypt</t>
  </si>
  <si>
    <t>ERR4783167</t>
  </si>
  <si>
    <t>SAMEA6156068</t>
  </si>
  <si>
    <t>PRJEB29739</t>
  </si>
  <si>
    <t>NZ_RHXW01000010.1</t>
  </si>
  <si>
    <t>506/1000</t>
  </si>
  <si>
    <t>NIHR_Global_Health_Research_Unit_on_Genomic_Surveillance_of_Antimicrobial_Resistance</t>
  </si>
  <si>
    <t>Wellcome Sanger Institute;SC</t>
  </si>
  <si>
    <t>ERR4783172</t>
  </si>
  <si>
    <t>SAMEA6156072</t>
  </si>
  <si>
    <t>NZ_VHFG01000001.1</t>
  </si>
  <si>
    <t>830/1000</t>
  </si>
  <si>
    <t>ERR4783180</t>
  </si>
  <si>
    <t>SAMEA6156074</t>
  </si>
  <si>
    <t>NZ_MPCA01000001.1</t>
  </si>
  <si>
    <t>973/1000</t>
  </si>
  <si>
    <t>ERR4783186</t>
  </si>
  <si>
    <t>SAMEA6156075</t>
  </si>
  <si>
    <t>NZ_VHHL01000001.1</t>
  </si>
  <si>
    <t>961/1000</t>
  </si>
  <si>
    <t>ERR4783188</t>
  </si>
  <si>
    <t>SAMEA6156082</t>
  </si>
  <si>
    <t>ERR4783194</t>
  </si>
  <si>
    <t>SAMEA6156081</t>
  </si>
  <si>
    <t>926/1000</t>
  </si>
  <si>
    <t>ERR4783195</t>
  </si>
  <si>
    <t>SAMEA6156095</t>
  </si>
  <si>
    <t>ERR4783200</t>
  </si>
  <si>
    <t>SAMEA6156110</t>
  </si>
  <si>
    <t>NZ_LN868200.1</t>
  </si>
  <si>
    <t>ERR4783203</t>
  </si>
  <si>
    <t>SAMEA6156097</t>
  </si>
  <si>
    <t>ERR4783208</t>
  </si>
  <si>
    <t>SAMEA6156098</t>
  </si>
  <si>
    <t>982/1000</t>
  </si>
  <si>
    <t>ERR4783214</t>
  </si>
  <si>
    <t>SAMEA6156099</t>
  </si>
  <si>
    <t>974/1000</t>
  </si>
  <si>
    <t>ERR4783216</t>
  </si>
  <si>
    <t>SAMEA6156100</t>
  </si>
  <si>
    <t>ERR4783222</t>
  </si>
  <si>
    <t>SAMEA6156102</t>
  </si>
  <si>
    <t>987/1000</t>
  </si>
  <si>
    <t>ERR4783223</t>
  </si>
  <si>
    <t>SAMEA6156105</t>
  </si>
  <si>
    <t>ERR4783228</t>
  </si>
  <si>
    <t>SAMEA6156107</t>
  </si>
  <si>
    <t>NZ_MPBX01000001.1</t>
  </si>
  <si>
    <t>964/1000</t>
  </si>
  <si>
    <t>ERR4783231</t>
  </si>
  <si>
    <t>SAMEA6156112</t>
  </si>
  <si>
    <t>ERR4783239</t>
  </si>
  <si>
    <t>SAMEA6156083</t>
  </si>
  <si>
    <t>ERR4783244</t>
  </si>
  <si>
    <t>SAMEA6156085</t>
  </si>
  <si>
    <t>ERR4783250</t>
  </si>
  <si>
    <t>SAMEA6156086</t>
  </si>
  <si>
    <t>NZ_SMUC01000100.1</t>
  </si>
  <si>
    <t>967/1000</t>
  </si>
  <si>
    <t>ERR4783252</t>
  </si>
  <si>
    <t>SAMEA6156089</t>
  </si>
  <si>
    <t>ERR4783258</t>
  </si>
  <si>
    <t>SAMEA6156088</t>
  </si>
  <si>
    <t>ERR4783259</t>
  </si>
  <si>
    <t>SAMEA6156087</t>
  </si>
  <si>
    <t>983/1000</t>
  </si>
  <si>
    <t>ERR4783264</t>
  </si>
  <si>
    <t>SAMEA6156109</t>
  </si>
  <si>
    <t>924/1000</t>
  </si>
  <si>
    <t>ERR4783385</t>
  </si>
  <si>
    <t>SAMEA6156069</t>
  </si>
  <si>
    <t>ERR4783387</t>
  </si>
  <si>
    <t>SAMEA6156071</t>
  </si>
  <si>
    <t>981/1000</t>
  </si>
  <si>
    <t>ERR4783391</t>
  </si>
  <si>
    <t>SAMEA6156077</t>
  </si>
  <si>
    <t>ERR4783394</t>
  </si>
  <si>
    <t>SAMEA6156108</t>
  </si>
  <si>
    <t>692/1000</t>
  </si>
  <si>
    <t>ERR4783401</t>
  </si>
  <si>
    <t>SAMEA6156096</t>
  </si>
  <si>
    <t>ERR4783411</t>
  </si>
  <si>
    <t>SAMEA6156084</t>
  </si>
  <si>
    <t>ERR4783413</t>
  </si>
  <si>
    <t>SAMEA6156090</t>
  </si>
  <si>
    <t>ERR4783415</t>
  </si>
  <si>
    <t>SAMEA6156091</t>
  </si>
  <si>
    <t>700/1000</t>
  </si>
  <si>
    <t>ERR4783417</t>
  </si>
  <si>
    <t>SAMEA6156092</t>
  </si>
  <si>
    <t>676/1000</t>
  </si>
  <si>
    <t>ERR4783419</t>
  </si>
  <si>
    <t>SAMEA6156094</t>
  </si>
  <si>
    <t>ERR4783518</t>
  </si>
  <si>
    <t>SAMEA6422772</t>
  </si>
  <si>
    <t>ERR4919979</t>
  </si>
  <si>
    <t>SAMEA7472255</t>
  </si>
  <si>
    <t>PRJEB33565</t>
  </si>
  <si>
    <t>Ethiopia</t>
  </si>
  <si>
    <t>ERR4919980</t>
  </si>
  <si>
    <t>SAMEA7472266</t>
  </si>
  <si>
    <t>NZ_UCPK02000001.1</t>
  </si>
  <si>
    <t>929/1000</t>
  </si>
  <si>
    <t>ERR4919981</t>
  </si>
  <si>
    <t>SAMEA7472269</t>
  </si>
  <si>
    <t>922/1000</t>
  </si>
  <si>
    <t>ERR4919983</t>
  </si>
  <si>
    <t>SAMEA7472272</t>
  </si>
  <si>
    <t>NZ_UCPR02000001.1</t>
  </si>
  <si>
    <t>927/1000</t>
  </si>
  <si>
    <t>ERR4919984</t>
  </si>
  <si>
    <t>SAMEA7472275</t>
  </si>
  <si>
    <t>937/1000</t>
  </si>
  <si>
    <t>ERR4919985</t>
  </si>
  <si>
    <t>SAMEA7472282</t>
  </si>
  <si>
    <t>NZ_FBXI01000001.1</t>
  </si>
  <si>
    <t>934/1000</t>
  </si>
  <si>
    <t>ERR4919991</t>
  </si>
  <si>
    <t>SAMEA7472369</t>
  </si>
  <si>
    <t>NZ_JEZB01000001.1</t>
  </si>
  <si>
    <t>ERR4919992</t>
  </si>
  <si>
    <t>SAMEA7472384</t>
  </si>
  <si>
    <t>NZ_UFKS01000070.1</t>
  </si>
  <si>
    <t>853/1000</t>
  </si>
  <si>
    <t>ERR4919993</t>
  </si>
  <si>
    <t>SAMEA7472417</t>
  </si>
  <si>
    <t>NZ_FTRX01000225.1</t>
  </si>
  <si>
    <t>ERR4920008</t>
  </si>
  <si>
    <t>SAMEA7472901</t>
  </si>
  <si>
    <t>NZ_RHZA01000010.1</t>
  </si>
  <si>
    <t>919/1000</t>
  </si>
  <si>
    <t>Rwanda</t>
  </si>
  <si>
    <t>ERR4920011</t>
  </si>
  <si>
    <t>SAMEA7472929</t>
  </si>
  <si>
    <t>NZ_CACRXT010000001.1</t>
  </si>
  <si>
    <t>980/1000</t>
  </si>
  <si>
    <t>ERR4920012</t>
  </si>
  <si>
    <t>SAMEA7472932</t>
  </si>
  <si>
    <t>NZ_UFMP01000067.1</t>
  </si>
  <si>
    <t>913/1000</t>
  </si>
  <si>
    <t>ERR4920013</t>
  </si>
  <si>
    <t>SAMEA7472944</t>
  </si>
  <si>
    <t>ERR4999559</t>
  </si>
  <si>
    <t>SAMEA7725278</t>
  </si>
  <si>
    <t>PRJEB42042</t>
  </si>
  <si>
    <t>NZ_NIWL01000010.1</t>
  </si>
  <si>
    <t>Libya</t>
  </si>
  <si>
    <t>ERR4999560</t>
  </si>
  <si>
    <t>SAMEA7725279</t>
  </si>
  <si>
    <t>NZ_CP041035.1</t>
  </si>
  <si>
    <t>ERR4999561</t>
  </si>
  <si>
    <t>SAMEA7725280</t>
  </si>
  <si>
    <t>NZ_AMEJ01000001.1</t>
  </si>
  <si>
    <t>ERR4999562</t>
  </si>
  <si>
    <t>SAMEA7725281</t>
  </si>
  <si>
    <t>ERR4999563</t>
  </si>
  <si>
    <t>SAMEA7725282</t>
  </si>
  <si>
    <t>NZ_JZCA01000008.1</t>
  </si>
  <si>
    <t>ERR4999564</t>
  </si>
  <si>
    <t>SAMEA7725283</t>
  </si>
  <si>
    <t>ERR4999566</t>
  </si>
  <si>
    <t>SAMEA7725357</t>
  </si>
  <si>
    <t>ERR4999567</t>
  </si>
  <si>
    <t>SAMEA7725358</t>
  </si>
  <si>
    <t>ERR4999568</t>
  </si>
  <si>
    <t>SAMEA7725359</t>
  </si>
  <si>
    <t>ERR4999569</t>
  </si>
  <si>
    <t>SAMEA7725360</t>
  </si>
  <si>
    <t>NZ_QAGO01000010.1</t>
  </si>
  <si>
    <t>ERR4999570</t>
  </si>
  <si>
    <t>SAMEA7725361</t>
  </si>
  <si>
    <t>NZ_AMFV01000001.1</t>
  </si>
  <si>
    <t>862/1000</t>
  </si>
  <si>
    <t>ERR4999571</t>
  </si>
  <si>
    <t>SAMEA7725362</t>
  </si>
  <si>
    <t>NZ_LNVD01000001.1</t>
  </si>
  <si>
    <t>ERR4999572</t>
  </si>
  <si>
    <t>SAMEA7725391</t>
  </si>
  <si>
    <t>NZ_AFDM01000010.1</t>
  </si>
  <si>
    <t>970/1000</t>
  </si>
  <si>
    <t>ERR4999574</t>
  </si>
  <si>
    <t>SAMEA7725393</t>
  </si>
  <si>
    <t>794/1000</t>
  </si>
  <si>
    <t>ERR4999575</t>
  </si>
  <si>
    <t>SAMEA7725394</t>
  </si>
  <si>
    <t>861/1000</t>
  </si>
  <si>
    <t>ERR4999577</t>
  </si>
  <si>
    <t>SAMEA7725395</t>
  </si>
  <si>
    <t>ERR5000113</t>
  </si>
  <si>
    <t>SAMEA7725421</t>
  </si>
  <si>
    <t>ERR5000114</t>
  </si>
  <si>
    <t>SAMEA7725422</t>
  </si>
  <si>
    <t>ERR5000123</t>
  </si>
  <si>
    <t>SAMEA7725423</t>
  </si>
  <si>
    <t>851/1000</t>
  </si>
  <si>
    <t>ERR5000189</t>
  </si>
  <si>
    <t>SAMEA7725432</t>
  </si>
  <si>
    <t>NZ_UCQE02000001.1</t>
  </si>
  <si>
    <t>942/1000</t>
  </si>
  <si>
    <t>ERR5000190</t>
  </si>
  <si>
    <t>SAMEA7725433</t>
  </si>
  <si>
    <t>NZ_WIHX01000010.1</t>
  </si>
  <si>
    <t>938/1000</t>
  </si>
  <si>
    <t>ERR5000204</t>
  </si>
  <si>
    <t>SAMEA7725434</t>
  </si>
  <si>
    <t>ERR5205865</t>
  </si>
  <si>
    <t>SAMEA7886638</t>
  </si>
  <si>
    <t>PRJEB42731</t>
  </si>
  <si>
    <t>NZ_LYNI01000001.1</t>
  </si>
  <si>
    <t>ERR5205866</t>
  </si>
  <si>
    <t>SAMEA7886639</t>
  </si>
  <si>
    <t>NZ_NGHL01000078.1</t>
  </si>
  <si>
    <t>ERR5205867</t>
  </si>
  <si>
    <t>SAMEA7886640</t>
  </si>
  <si>
    <t>NZ_SMUB01000100.1</t>
  </si>
  <si>
    <t>900/1000</t>
  </si>
  <si>
    <t>ERR5205868</t>
  </si>
  <si>
    <t>SAMEA7886641</t>
  </si>
  <si>
    <t>ERR5205869</t>
  </si>
  <si>
    <t>SAMEA7886642</t>
  </si>
  <si>
    <t>ERR5205871</t>
  </si>
  <si>
    <t>SAMEA7886644</t>
  </si>
  <si>
    <t>NZ_WIID01000010.1</t>
  </si>
  <si>
    <t>ERR6938061</t>
  </si>
  <si>
    <t>SAMEA7486960</t>
  </si>
  <si>
    <t>910/1000</t>
  </si>
  <si>
    <t>ERR6938074</t>
  </si>
  <si>
    <t>SAMEA7486792</t>
  </si>
  <si>
    <t>NZ_CP021347.1</t>
  </si>
  <si>
    <t>720/1000</t>
  </si>
  <si>
    <t>ERR6938077</t>
  </si>
  <si>
    <t>SAMEA7486795</t>
  </si>
  <si>
    <t>NZ_CVLE01000001.1</t>
  </si>
  <si>
    <t>ERR6938084</t>
  </si>
  <si>
    <t>SAMEA7486797</t>
  </si>
  <si>
    <t>NZ_UFMX01000031.1</t>
  </si>
  <si>
    <t>ERR6938087</t>
  </si>
  <si>
    <t>SAMEA7486799</t>
  </si>
  <si>
    <t>NZ_UFKG01000087.1</t>
  </si>
  <si>
    <t>ERR6938090</t>
  </si>
  <si>
    <t>SAMEA7486800</t>
  </si>
  <si>
    <t>ERR6938093</t>
  </si>
  <si>
    <t>SAMEA7486802</t>
  </si>
  <si>
    <t>ERR6938096</t>
  </si>
  <si>
    <t>SAMEA7486803</t>
  </si>
  <si>
    <t>NZ_JEXR01000001.1</t>
  </si>
  <si>
    <t>899/1000</t>
  </si>
  <si>
    <t>ERR6938099</t>
  </si>
  <si>
    <t>SAMEA7486804</t>
  </si>
  <si>
    <t>NZ_RFBW01000009.1</t>
  </si>
  <si>
    <t>868/1000</t>
  </si>
  <si>
    <t>ERR6938111</t>
  </si>
  <si>
    <t>SAMEA7486798</t>
  </si>
  <si>
    <t>ERR6938114</t>
  </si>
  <si>
    <t>SAMEA7486801</t>
  </si>
  <si>
    <t>ERR6938153</t>
  </si>
  <si>
    <t>SAMEA7486831</t>
  </si>
  <si>
    <t>890/1000</t>
  </si>
  <si>
    <t>ERR6938409</t>
  </si>
  <si>
    <t>SAMEA8595430</t>
  </si>
  <si>
    <t>ERR6938479</t>
  </si>
  <si>
    <t>SAMEA8595628</t>
  </si>
  <si>
    <t>NZ_VHHD01000001.1</t>
  </si>
  <si>
    <t>ERR6938729</t>
  </si>
  <si>
    <t>SAMEA9651909</t>
  </si>
  <si>
    <t>ERR6938731</t>
  </si>
  <si>
    <t>SAMEA9651911</t>
  </si>
  <si>
    <t>945/1000</t>
  </si>
  <si>
    <t>ERR6938732</t>
  </si>
  <si>
    <t>SAMEA9651912</t>
  </si>
  <si>
    <t>ERR6938733</t>
  </si>
  <si>
    <t>SAMEA9651919</t>
  </si>
  <si>
    <t>ERR6938734</t>
  </si>
  <si>
    <t>SAMEA9651922</t>
  </si>
  <si>
    <t>ERR6938735</t>
  </si>
  <si>
    <t>SAMEA9651923</t>
  </si>
  <si>
    <t>ERR6938736</t>
  </si>
  <si>
    <t>SAMEA9651921</t>
  </si>
  <si>
    <t>ERR6938738</t>
  </si>
  <si>
    <t>SAMEA9651925</t>
  </si>
  <si>
    <t>500/1000</t>
  </si>
  <si>
    <t>ERR6938739</t>
  </si>
  <si>
    <t>SAMEA9651929</t>
  </si>
  <si>
    <t>933/1000</t>
  </si>
  <si>
    <t>ERR6938740</t>
  </si>
  <si>
    <t>SAMEA9651927</t>
  </si>
  <si>
    <t>ERR6938741</t>
  </si>
  <si>
    <t>SAMEA9651926</t>
  </si>
  <si>
    <t>NC_020547.2</t>
  </si>
  <si>
    <t>866/1000</t>
  </si>
  <si>
    <t>ERR6938743</t>
  </si>
  <si>
    <t>SAMEA9651928</t>
  </si>
  <si>
    <t>ERR6938745</t>
  </si>
  <si>
    <t>SAMEA9651931</t>
  </si>
  <si>
    <t>ERR6938749</t>
  </si>
  <si>
    <t>SAMEA9651933</t>
  </si>
  <si>
    <t>ERR6938913</t>
  </si>
  <si>
    <t>SAMEA9651897</t>
  </si>
  <si>
    <t>697/1000</t>
  </si>
  <si>
    <t>ERR6938928</t>
  </si>
  <si>
    <t>SAMEA9651902</t>
  </si>
  <si>
    <t>965/1000</t>
  </si>
  <si>
    <t>ERR6938929</t>
  </si>
  <si>
    <t>SAMEA9651903</t>
  </si>
  <si>
    <t>ERR6938931</t>
  </si>
  <si>
    <t>SAMEA9651905</t>
  </si>
  <si>
    <t>NZ_CP010781.1</t>
  </si>
  <si>
    <t>ERR7226293</t>
  </si>
  <si>
    <t>SAMEA9845162</t>
  </si>
  <si>
    <t>NZ_LLIN01000001.1</t>
  </si>
  <si>
    <t>885/1000</t>
  </si>
  <si>
    <t>ERR7226295</t>
  </si>
  <si>
    <t>SAMEA9845171</t>
  </si>
  <si>
    <t>NZ_UFKB01000118.1</t>
  </si>
  <si>
    <t>ERR7226554</t>
  </si>
  <si>
    <t>SAMEA9845114</t>
  </si>
  <si>
    <t>979/1000</t>
  </si>
  <si>
    <t>ERR7226556</t>
  </si>
  <si>
    <t>SAMEA9845119</t>
  </si>
  <si>
    <t>ERR7226586</t>
  </si>
  <si>
    <t xml:space="preserve">	
SAMEA9845138</t>
  </si>
  <si>
    <t>908/1000</t>
  </si>
  <si>
    <t>ERR7226588</t>
  </si>
  <si>
    <t>SAMEA9845141</t>
  </si>
  <si>
    <t>ERR7226590</t>
  </si>
  <si>
    <t>SAMEA9845142</t>
  </si>
  <si>
    <t>953/1000</t>
  </si>
  <si>
    <t>ERR7226592</t>
  </si>
  <si>
    <t>SAMEA9845145</t>
  </si>
  <si>
    <t>ERR7226594</t>
  </si>
  <si>
    <t>SAMEA9845146</t>
  </si>
  <si>
    <t>ERR7226612</t>
  </si>
  <si>
    <t>SAMEA9845148</t>
  </si>
  <si>
    <t>ERR7226614</t>
  </si>
  <si>
    <t>SAMEA984514</t>
  </si>
  <si>
    <t>NZ_VHGT01000001.1</t>
  </si>
  <si>
    <t>871/1000</t>
  </si>
  <si>
    <t>ERR7226616</t>
  </si>
  <si>
    <t>SAMEA9845149</t>
  </si>
  <si>
    <t>NZ_CP020597.1</t>
  </si>
  <si>
    <t>ERR7226618</t>
  </si>
  <si>
    <t>SAMEA9845150</t>
  </si>
  <si>
    <t>NZ_PXMF01000001.1</t>
  </si>
  <si>
    <t>923/1000</t>
  </si>
  <si>
    <t>ERR7226620</t>
  </si>
  <si>
    <t>SAMEA9845151</t>
  </si>
  <si>
    <t>ERR7226622</t>
  </si>
  <si>
    <t>SAMEA9845152</t>
  </si>
  <si>
    <t>ERR7226626</t>
  </si>
  <si>
    <t>SAMEA9845154</t>
  </si>
  <si>
    <t>NZ_QTKC01000085.1</t>
  </si>
  <si>
    <t>ERR7226644</t>
  </si>
  <si>
    <t>SAMEA9845156</t>
  </si>
  <si>
    <t>NZ_SOYV01000001.1</t>
  </si>
  <si>
    <t>540/1000</t>
  </si>
  <si>
    <t>ERR7226646</t>
  </si>
  <si>
    <t>SAMEA9845155</t>
  </si>
  <si>
    <t>NZ_UFMD01000063.1</t>
  </si>
  <si>
    <t>920/1000</t>
  </si>
  <si>
    <t>ERR7226648</t>
  </si>
  <si>
    <t>SAMEA9845158</t>
  </si>
  <si>
    <t>NZ_JFEF01000001.1</t>
  </si>
  <si>
    <t>534/1000</t>
  </si>
  <si>
    <t>ERR7226650</t>
  </si>
  <si>
    <t xml:space="preserve">	
SAMEA9845157</t>
  </si>
  <si>
    <t>NZ_MSMU01000001.1</t>
  </si>
  <si>
    <t>501/1000</t>
  </si>
  <si>
    <t>ERR7226654</t>
  </si>
  <si>
    <t>SAMEA9845160</t>
  </si>
  <si>
    <t>ERR7226656</t>
  </si>
  <si>
    <t>SAMEA9845161</t>
  </si>
  <si>
    <t>ERR7226658</t>
  </si>
  <si>
    <t>SAMEA9845163</t>
  </si>
  <si>
    <t>ERR7226676</t>
  </si>
  <si>
    <t>SAMEA9845164</t>
  </si>
  <si>
    <t>ERR7226678</t>
  </si>
  <si>
    <t>SAMEA9845165</t>
  </si>
  <si>
    <t>ERR7226680</t>
  </si>
  <si>
    <t>SAMEA9845167</t>
  </si>
  <si>
    <t>NZ_JEXM01000001.1</t>
  </si>
  <si>
    <t>544/1000</t>
  </si>
  <si>
    <t>ERR7226688</t>
  </si>
  <si>
    <t>SAMEA9845170</t>
  </si>
  <si>
    <t>787/1000</t>
  </si>
  <si>
    <t>ERR7226690</t>
  </si>
  <si>
    <t>SAMEA9845172</t>
  </si>
  <si>
    <t>ERR8024946</t>
  </si>
  <si>
    <t>SAMEA12311701</t>
  </si>
  <si>
    <t>PRJEB46496</t>
  </si>
  <si>
    <t>NZ_CP051862.1</t>
  </si>
  <si>
    <t>742/1000</t>
  </si>
  <si>
    <t>hospital surface</t>
  </si>
  <si>
    <t>hosptial surface</t>
  </si>
  <si>
    <t>Ghana</t>
  </si>
  <si>
    <t>ERR8024947</t>
  </si>
  <si>
    <t>SAMEA12311702</t>
  </si>
  <si>
    <t>797/1000</t>
  </si>
  <si>
    <t>ERR8024950</t>
  </si>
  <si>
    <t>SAMEA12311705</t>
  </si>
  <si>
    <t>ERR8024951</t>
  </si>
  <si>
    <t>SAMEA12311706</t>
  </si>
  <si>
    <t>796/1000</t>
  </si>
  <si>
    <t>ERR8024959</t>
  </si>
  <si>
    <t>SAMEA12311711</t>
  </si>
  <si>
    <t>NZ_BHGH01000001.1</t>
  </si>
  <si>
    <t>756/1000</t>
  </si>
  <si>
    <t>SRR10583096</t>
  </si>
  <si>
    <t>SAMN13422049</t>
  </si>
  <si>
    <t>PRJNA592050</t>
  </si>
  <si>
    <t>NZ_CZWE01000001.1</t>
  </si>
  <si>
    <t>860/1000</t>
  </si>
  <si>
    <t>Surgical site infection</t>
  </si>
  <si>
    <t>SRR11514880</t>
  </si>
  <si>
    <t>SAMN14567567</t>
  </si>
  <si>
    <t>PRJNA624101</t>
  </si>
  <si>
    <t>NZ_VHFD01000001.1</t>
  </si>
  <si>
    <t>Whole-Genome sequence of NDM-1-producing Acinetobacter baumannii</t>
  </si>
  <si>
    <t>Sciensano</t>
  </si>
  <si>
    <t>Benin</t>
  </si>
  <si>
    <t>SRR11589174</t>
  </si>
  <si>
    <t>SAMN14669798</t>
  </si>
  <si>
    <t>PRJNA627433</t>
  </si>
  <si>
    <t>NZ_UCPQ02000001.1</t>
  </si>
  <si>
    <t>997/1000</t>
  </si>
  <si>
    <t>7.15897e-05</t>
  </si>
  <si>
    <t>SRR11589267</t>
  </si>
  <si>
    <t>SAMN14669869</t>
  </si>
  <si>
    <t>NZ_JEVZ02000001.1</t>
  </si>
  <si>
    <t>529/1000</t>
  </si>
  <si>
    <t>SRR12905336</t>
  </si>
  <si>
    <t>SAMN16562431</t>
  </si>
  <si>
    <t>PRJNA672293</t>
  </si>
  <si>
    <t>wound</t>
  </si>
  <si>
    <t>Tripoli</t>
  </si>
  <si>
    <t>SRR12905337</t>
  </si>
  <si>
    <t>SAMN16562435</t>
  </si>
  <si>
    <t>793/1000</t>
  </si>
  <si>
    <t>wound-Sputum</t>
  </si>
  <si>
    <t>SRR12905338</t>
  </si>
  <si>
    <t>SAMN16562434</t>
  </si>
  <si>
    <t>SRR12905341</t>
  </si>
  <si>
    <t>SAMN16562430</t>
  </si>
  <si>
    <t>936/1000</t>
  </si>
  <si>
    <t>SRR13327178</t>
  </si>
  <si>
    <t>SAMN17182380</t>
  </si>
  <si>
    <t>PRJNA688598</t>
  </si>
  <si>
    <t>NZ_WIIH01000010.1</t>
  </si>
  <si>
    <t>BAL</t>
  </si>
  <si>
    <t>Cairo</t>
  </si>
  <si>
    <t>SRR13327179</t>
  </si>
  <si>
    <t>SAMN17182379</t>
  </si>
  <si>
    <t>SRR13327181</t>
  </si>
  <si>
    <t>SAMN17182377</t>
  </si>
  <si>
    <t>SRR13327185</t>
  </si>
  <si>
    <t>SAMN17182374</t>
  </si>
  <si>
    <t>NZ_JAAOSB010000001.1</t>
  </si>
  <si>
    <t>CVP Blood</t>
  </si>
  <si>
    <t>SRR13327186</t>
  </si>
  <si>
    <t>SAMN17182400</t>
  </si>
  <si>
    <t>NZ_JAAGSH010000001.1</t>
  </si>
  <si>
    <t>952/1000</t>
  </si>
  <si>
    <t>SRR13327187</t>
  </si>
  <si>
    <t>SAMN17182399</t>
  </si>
  <si>
    <t>951/1000</t>
  </si>
  <si>
    <t>SRR13327189</t>
  </si>
  <si>
    <t>SAMN17182397</t>
  </si>
  <si>
    <t>SRR13327190</t>
  </si>
  <si>
    <t>SAMN17182396</t>
  </si>
  <si>
    <t>SRR13327191</t>
  </si>
  <si>
    <t>SAMN17182395</t>
  </si>
  <si>
    <t>SRR13327192</t>
  </si>
  <si>
    <t>SAMN17182394</t>
  </si>
  <si>
    <t>NZ_VAGF01000001.1</t>
  </si>
  <si>
    <t>906/1000</t>
  </si>
  <si>
    <t>SRR13327193</t>
  </si>
  <si>
    <t>SAMN17182393</t>
  </si>
  <si>
    <t>SRR13327194</t>
  </si>
  <si>
    <t>SAMN17182392</t>
  </si>
  <si>
    <t>904/1000</t>
  </si>
  <si>
    <t>SRR13327196</t>
  </si>
  <si>
    <t>SAMN17182373</t>
  </si>
  <si>
    <t>NZ_FWYM01000084.1</t>
  </si>
  <si>
    <t>Tissue</t>
  </si>
  <si>
    <t>SRR13327198</t>
  </si>
  <si>
    <t>SAMN17182389</t>
  </si>
  <si>
    <t>SRR13327199</t>
  </si>
  <si>
    <t>SAMN17182388</t>
  </si>
  <si>
    <t>NZ_VAOJ01000001.1</t>
  </si>
  <si>
    <t>901/1000</t>
  </si>
  <si>
    <t>SRR13327200</t>
  </si>
  <si>
    <t>SAMN17182387</t>
  </si>
  <si>
    <t>968/1000</t>
  </si>
  <si>
    <t>SRR13327201</t>
  </si>
  <si>
    <t>SAMN17182386</t>
  </si>
  <si>
    <t>SRR13327203</t>
  </si>
  <si>
    <t>SAMN17182384</t>
  </si>
  <si>
    <t>941/1000</t>
  </si>
  <si>
    <t>SRR13327204</t>
  </si>
  <si>
    <t>SAMN17182383</t>
  </si>
  <si>
    <t>SRR13327205</t>
  </si>
  <si>
    <t>SAMN17182382</t>
  </si>
  <si>
    <t>SRR13327206</t>
  </si>
  <si>
    <t>SAMN17182381</t>
  </si>
  <si>
    <t>SRR13327207</t>
  </si>
  <si>
    <t>SAMN17182372</t>
  </si>
  <si>
    <t>SRR13401434</t>
  </si>
  <si>
    <t>SAMN17265991</t>
  </si>
  <si>
    <t>PRJNA690827</t>
  </si>
  <si>
    <t>NZ_SNVM01000001.1</t>
  </si>
  <si>
    <t>869/1000</t>
  </si>
  <si>
    <t>Whole genome sequencing of multidrug resistant Acinetobacter baumannii clinical isolates</t>
  </si>
  <si>
    <t>October University for Modern Sciences and Arts</t>
  </si>
  <si>
    <t>SRR13430624</t>
  </si>
  <si>
    <t>SAMN17265995</t>
  </si>
  <si>
    <t>NZ_NKXQ01000001.1</t>
  </si>
  <si>
    <t>SRR13430625</t>
  </si>
  <si>
    <t>SAMN17265994</t>
  </si>
  <si>
    <t>NZ_VAOM01000001.1</t>
  </si>
  <si>
    <t>946/1000</t>
  </si>
  <si>
    <t>SRR13430626</t>
  </si>
  <si>
    <t>SAMN17265993</t>
  </si>
  <si>
    <t>NZ_NEPX01000100.1</t>
  </si>
  <si>
    <t>833/1000</t>
  </si>
  <si>
    <t>SRR13430627</t>
  </si>
  <si>
    <t>SAMN17265992</t>
  </si>
  <si>
    <t>NZ_QKWE01000001.1</t>
  </si>
  <si>
    <t>SRR14100602</t>
  </si>
  <si>
    <t>SAMN17266001</t>
  </si>
  <si>
    <t>NZ_MWTW01000001.1</t>
  </si>
  <si>
    <t>SRR14101519</t>
  </si>
  <si>
    <t>SAMN17266004</t>
  </si>
  <si>
    <t>806/1000</t>
  </si>
  <si>
    <t>SRR14101547</t>
  </si>
  <si>
    <t>SAMN17266002</t>
  </si>
  <si>
    <t>NZ_AMDE01000001.1</t>
  </si>
  <si>
    <t>SRR14101709</t>
  </si>
  <si>
    <t>SAMN17266003</t>
  </si>
  <si>
    <t>NZ_WIHK01000100.1</t>
  </si>
  <si>
    <t>930/1000</t>
  </si>
  <si>
    <t>SRR14101949</t>
  </si>
  <si>
    <t>SAMN17266005</t>
  </si>
  <si>
    <t>SRR14102219</t>
  </si>
  <si>
    <t>SAMN17266006</t>
  </si>
  <si>
    <t>NZ_UFPQ01000049.1</t>
  </si>
  <si>
    <t>879/1000</t>
  </si>
  <si>
    <t>SRR14102306</t>
  </si>
  <si>
    <t>SAMN17266007</t>
  </si>
  <si>
    <t>NZ_CM009036.2</t>
  </si>
  <si>
    <t>895/1000</t>
  </si>
  <si>
    <t>SRR14102521</t>
  </si>
  <si>
    <t>SAMN17266008</t>
  </si>
  <si>
    <t>NZ_LKMB01000001.1</t>
  </si>
  <si>
    <t>SRR14116705</t>
  </si>
  <si>
    <t>SAMN17266009</t>
  </si>
  <si>
    <t>812/1000</t>
  </si>
  <si>
    <t>SRR14116736</t>
  </si>
  <si>
    <t>SAMN17266010</t>
  </si>
  <si>
    <t>NZ_LYNL01000001.1</t>
  </si>
  <si>
    <t>836/1000</t>
  </si>
  <si>
    <t>SRR14280111</t>
  </si>
  <si>
    <t>SAMN18520915</t>
  </si>
  <si>
    <t>PRJNA718726</t>
  </si>
  <si>
    <t>NZ_CP051866.1</t>
  </si>
  <si>
    <t>Acinetobacter baumannii strain:FG116 Genome sequencing and assembly</t>
  </si>
  <si>
    <t>UKZN</t>
  </si>
  <si>
    <t>SRR14455652</t>
  </si>
  <si>
    <t>SAMN18781032</t>
  </si>
  <si>
    <t>PRJNA722597</t>
  </si>
  <si>
    <t>NZ_CACRXX010000001.1</t>
  </si>
  <si>
    <t>Acinetobacter baumannii strain:FG121 Genome sequencing and assembly</t>
  </si>
  <si>
    <t>KwaZulu-Natal</t>
  </si>
  <si>
    <t>SRR17931033</t>
  </si>
  <si>
    <t>SAMN25722230</t>
  </si>
  <si>
    <t>PRJNA804332</t>
  </si>
  <si>
    <t>NZ_JAAEFW010000001.1</t>
  </si>
  <si>
    <t>Kenya</t>
  </si>
  <si>
    <t>SRR17931048</t>
  </si>
  <si>
    <t>SAMN25722314</t>
  </si>
  <si>
    <t>NZ_VHEV01000001.1</t>
  </si>
  <si>
    <t>826/1000</t>
  </si>
  <si>
    <t>SRR17931144</t>
  </si>
  <si>
    <t>SAMN25722229</t>
  </si>
  <si>
    <t>NZ_VHEE01000001.1</t>
  </si>
  <si>
    <t>SRR17931145</t>
  </si>
  <si>
    <t>SAMN25722228</t>
  </si>
  <si>
    <t>874/1000</t>
  </si>
  <si>
    <t>SRR18114233</t>
  </si>
  <si>
    <t>SAMN26149365</t>
  </si>
  <si>
    <t>PRJNA719017</t>
  </si>
  <si>
    <t>Acinetobacter baumannii Genome sequencing and assembly</t>
  </si>
  <si>
    <t>Zoonosis Science Center</t>
  </si>
  <si>
    <t>SRR19107616</t>
  </si>
  <si>
    <t>SAMN28104610</t>
  </si>
  <si>
    <t>PRJNA835506</t>
  </si>
  <si>
    <t>The University of Sydney</t>
  </si>
  <si>
    <t>SRR25445074</t>
  </si>
  <si>
    <t>SAMN36721169</t>
  </si>
  <si>
    <t>PRJNA999198</t>
  </si>
  <si>
    <t>NZ_NEOV01000010.1</t>
  </si>
  <si>
    <t>ANSES</t>
  </si>
  <si>
    <t>Tunisian</t>
  </si>
  <si>
    <t>SRR25445075</t>
  </si>
  <si>
    <t>SAMN36721168</t>
  </si>
  <si>
    <t>SRR25445076</t>
  </si>
  <si>
    <t>SAMN36721167</t>
  </si>
  <si>
    <t>SRR25445077</t>
  </si>
  <si>
    <t>SAMN36721166</t>
  </si>
  <si>
    <t>NZ_PYEF01000010.1</t>
  </si>
  <si>
    <t>SRR25445078</t>
  </si>
  <si>
    <t>SAMN36721214</t>
  </si>
  <si>
    <t>NZ_UFOW01000054.1</t>
  </si>
  <si>
    <t>SRR25445079</t>
  </si>
  <si>
    <t>SAMN36721213</t>
  </si>
  <si>
    <t>955/1000</t>
  </si>
  <si>
    <t>SRR25445080</t>
  </si>
  <si>
    <t>SAMN36721212</t>
  </si>
  <si>
    <t>SRR25445081</t>
  </si>
  <si>
    <t>SAMN36721211</t>
  </si>
  <si>
    <t>SRR25445082</t>
  </si>
  <si>
    <t>SAMN36721210</t>
  </si>
  <si>
    <t>SRR25445083</t>
  </si>
  <si>
    <t>SAMN36721165</t>
  </si>
  <si>
    <t>NZ_MWTZ01000001.1</t>
  </si>
  <si>
    <t>SRR25445084</t>
  </si>
  <si>
    <t>SAMN36721209</t>
  </si>
  <si>
    <t>954/1000</t>
  </si>
  <si>
    <t>SRR25445085</t>
  </si>
  <si>
    <t>SAMN36721208</t>
  </si>
  <si>
    <t>SRR25445086</t>
  </si>
  <si>
    <t>SAMN36721207</t>
  </si>
  <si>
    <t>SRR25445087</t>
  </si>
  <si>
    <t>SAMN36721206</t>
  </si>
  <si>
    <t>SRR25445088</t>
  </si>
  <si>
    <t>SAMN36721205</t>
  </si>
  <si>
    <t>SRR25445089</t>
  </si>
  <si>
    <t>SAMN36721204</t>
  </si>
  <si>
    <t>SRR25445090</t>
  </si>
  <si>
    <t>SAMN36721203</t>
  </si>
  <si>
    <t>SRR25445091</t>
  </si>
  <si>
    <t>SAMN36721202</t>
  </si>
  <si>
    <t>SRR25445092</t>
  </si>
  <si>
    <t>SAMN36721201</t>
  </si>
  <si>
    <t>SRR25445093</t>
  </si>
  <si>
    <t>SAMN36721200</t>
  </si>
  <si>
    <t>459/1000</t>
  </si>
  <si>
    <t>SRR25445094</t>
  </si>
  <si>
    <t>SAMN36721164</t>
  </si>
  <si>
    <t>NZ_VHGP01000001.1</t>
  </si>
  <si>
    <t>SRR25445095</t>
  </si>
  <si>
    <t>SAMN36721199</t>
  </si>
  <si>
    <t>SRR25445096</t>
  </si>
  <si>
    <t>SAMN36721198</t>
  </si>
  <si>
    <t>SRR25445097</t>
  </si>
  <si>
    <t>SAMN36721197</t>
  </si>
  <si>
    <t>SRR25445098</t>
  </si>
  <si>
    <t>SAMN36721196</t>
  </si>
  <si>
    <t>SRR25445099</t>
  </si>
  <si>
    <t>SAMN36721195</t>
  </si>
  <si>
    <t>SRR25445100</t>
  </si>
  <si>
    <t>SAMN36721194</t>
  </si>
  <si>
    <t>SRR25445101</t>
  </si>
  <si>
    <t>SAMN36721193</t>
  </si>
  <si>
    <t>SRR25445102</t>
  </si>
  <si>
    <t>SAMN36721192</t>
  </si>
  <si>
    <t>SRR25445103</t>
  </si>
  <si>
    <t>SAMN36721191</t>
  </si>
  <si>
    <t>SRR25445104</t>
  </si>
  <si>
    <t>SAMN36721190</t>
  </si>
  <si>
    <t>SRR25445105</t>
  </si>
  <si>
    <t>SAMN36721163</t>
  </si>
  <si>
    <t>SRR25445106</t>
  </si>
  <si>
    <t>SAMN36721189</t>
  </si>
  <si>
    <t>SRR25445107</t>
  </si>
  <si>
    <t>SAMN36721188</t>
  </si>
  <si>
    <t>SRR25445108</t>
  </si>
  <si>
    <t>SAMN36721187</t>
  </si>
  <si>
    <t>SRR25445109</t>
  </si>
  <si>
    <t>SAMN36721186</t>
  </si>
  <si>
    <t>SRR25445110</t>
  </si>
  <si>
    <t>SAMN36721185</t>
  </si>
  <si>
    <t>SRR25445111</t>
  </si>
  <si>
    <t>SAMN36721184</t>
  </si>
  <si>
    <t>NZ_JQSD01000001.1</t>
  </si>
  <si>
    <t>SRR25445112</t>
  </si>
  <si>
    <t>SAMN36721183</t>
  </si>
  <si>
    <t>SRR25445113</t>
  </si>
  <si>
    <t>SAMN36721182</t>
  </si>
  <si>
    <t>SRR25445114</t>
  </si>
  <si>
    <t>SAMN36721181</t>
  </si>
  <si>
    <t>SRR25445115</t>
  </si>
  <si>
    <t>SAMN36721180</t>
  </si>
  <si>
    <t>SRR25445116</t>
  </si>
  <si>
    <t>SAMN36721162</t>
  </si>
  <si>
    <t>SRR25445117</t>
  </si>
  <si>
    <t>SAMN36721179</t>
  </si>
  <si>
    <t>SRR25445118</t>
  </si>
  <si>
    <t>SAMN36721178</t>
  </si>
  <si>
    <t>SRR25445119</t>
  </si>
  <si>
    <t>SAMN36721177</t>
  </si>
  <si>
    <t>944/1000</t>
  </si>
  <si>
    <t>SRR25445120</t>
  </si>
  <si>
    <t>SAMN36721176</t>
  </si>
  <si>
    <t>NZ_VAFR01000001.1</t>
  </si>
  <si>
    <t>SRR25445121</t>
  </si>
  <si>
    <t>SAMN36721175</t>
  </si>
  <si>
    <t>SRR25445122</t>
  </si>
  <si>
    <t>SAMN36721174</t>
  </si>
  <si>
    <t>NZ_NEPI01000010.1</t>
  </si>
  <si>
    <t>SRR25445123</t>
  </si>
  <si>
    <t>SAMN36721173</t>
  </si>
  <si>
    <t>SRR25445124</t>
  </si>
  <si>
    <t>SAMN36721172</t>
  </si>
  <si>
    <t>SRR25445125</t>
  </si>
  <si>
    <t>SAMN36721171</t>
  </si>
  <si>
    <t>SRR25445126</t>
  </si>
  <si>
    <t>SAMN36721170</t>
  </si>
  <si>
    <t>SRR25445127</t>
  </si>
  <si>
    <t>SAMN36721161</t>
  </si>
  <si>
    <t>SRR25445128</t>
  </si>
  <si>
    <t>SAMN36721160</t>
  </si>
  <si>
    <t>SRR28167554</t>
  </si>
  <si>
    <t>SAMN40205360</t>
  </si>
  <si>
    <t>PRJNA1082310</t>
  </si>
  <si>
    <t>Children's Hospital of Philadelphia</t>
  </si>
  <si>
    <t>Bostwana</t>
  </si>
  <si>
    <t>SRR28167555</t>
  </si>
  <si>
    <t>SAMN40205359</t>
  </si>
  <si>
    <t>SRR28167556</t>
  </si>
  <si>
    <t>SAMN40205358</t>
  </si>
  <si>
    <t>SRR28167557</t>
  </si>
  <si>
    <t>SAMN40205341</t>
  </si>
  <si>
    <t>NZ_RFBY01000001.1</t>
  </si>
  <si>
    <t>748/1000</t>
  </si>
  <si>
    <t>SRR28167558</t>
  </si>
  <si>
    <t>SAMN40205357</t>
  </si>
  <si>
    <t>NZ_QFBX01000001.1</t>
  </si>
  <si>
    <t>SRR28167559</t>
  </si>
  <si>
    <t>SAMN40205356</t>
  </si>
  <si>
    <t>998/1000</t>
  </si>
  <si>
    <t>4.76906e-05</t>
  </si>
  <si>
    <t>SRR28167560</t>
  </si>
  <si>
    <t>SAMN40205355</t>
  </si>
  <si>
    <t>SRR28167561</t>
  </si>
  <si>
    <t>SAMN40205354</t>
  </si>
  <si>
    <t>993/1000</t>
  </si>
  <si>
    <t>SRR28167562</t>
  </si>
  <si>
    <t>SAMN40205353</t>
  </si>
  <si>
    <t>SRR28167563</t>
  </si>
  <si>
    <t>SAMN40205352</t>
  </si>
  <si>
    <t>NZ_JAAGTZ010000001.1</t>
  </si>
  <si>
    <t>850/1000</t>
  </si>
  <si>
    <t>SRR28167564</t>
  </si>
  <si>
    <t>SAMN40205351</t>
  </si>
  <si>
    <t>SRR28167565</t>
  </si>
  <si>
    <t>SAMN40205350</t>
  </si>
  <si>
    <t>SRR28167566</t>
  </si>
  <si>
    <t>SAMN40205349</t>
  </si>
  <si>
    <t>994/1000</t>
  </si>
  <si>
    <t>SRR28167567</t>
  </si>
  <si>
    <t>SAMN40205348</t>
  </si>
  <si>
    <t>SRR28167569</t>
  </si>
  <si>
    <t>SAMN40205347</t>
  </si>
  <si>
    <t>NZ_OVBZ01000056.1</t>
  </si>
  <si>
    <t>521/1000</t>
  </si>
  <si>
    <t>SRR28167570</t>
  </si>
  <si>
    <t>SAMN40205346</t>
  </si>
  <si>
    <t>985/1000</t>
  </si>
  <si>
    <t>SRR28167571</t>
  </si>
  <si>
    <t>SAMN40205345</t>
  </si>
  <si>
    <t>SRR28167572</t>
  </si>
  <si>
    <t>SAMN40205344</t>
  </si>
  <si>
    <t>SRR28167573</t>
  </si>
  <si>
    <t>SAMN40205325</t>
  </si>
  <si>
    <t>992/1000</t>
  </si>
  <si>
    <t>SRR28167574</t>
  </si>
  <si>
    <t>SAMN40205324</t>
  </si>
  <si>
    <t>SRR28167575</t>
  </si>
  <si>
    <t>SAMN40205323</t>
  </si>
  <si>
    <t>991/1000</t>
  </si>
  <si>
    <t>SRR28167576</t>
  </si>
  <si>
    <t>SAMN40205322</t>
  </si>
  <si>
    <t>SRR28167577</t>
  </si>
  <si>
    <t>SAMN40205321</t>
  </si>
  <si>
    <t>NZ_RFCR01000018.1</t>
  </si>
  <si>
    <t>SRR28167578</t>
  </si>
  <si>
    <t>SAMN40205320</t>
  </si>
  <si>
    <t>SRR28167579</t>
  </si>
  <si>
    <t>SAMN40205337</t>
  </si>
  <si>
    <t>SRR28167581</t>
  </si>
  <si>
    <t>SAMN40205326</t>
  </si>
  <si>
    <t>SRR28167582</t>
  </si>
  <si>
    <t>SAMN40205343</t>
  </si>
  <si>
    <t>SRR28167584</t>
  </si>
  <si>
    <t>SAMN40205340</t>
  </si>
  <si>
    <t>SRR28824822</t>
  </si>
  <si>
    <t>SAMN41107056</t>
  </si>
  <si>
    <t>NZ_UCTL02000001.1</t>
  </si>
  <si>
    <t>SRR8618098</t>
  </si>
  <si>
    <t>SAMN09768096</t>
  </si>
  <si>
    <t>PRJNA411997</t>
  </si>
  <si>
    <t>995/1000</t>
  </si>
  <si>
    <t xml:space="preserve">
Norwegian National Advisory Unit on Detection of Antimicrobial Resistance</t>
  </si>
  <si>
    <t>Kumasi</t>
  </si>
  <si>
    <t>SRR8618099</t>
  </si>
  <si>
    <t>SAMN07692765</t>
  </si>
  <si>
    <t>urethral swab</t>
  </si>
  <si>
    <t>SRR9017260</t>
  </si>
  <si>
    <t>SAMN11096027</t>
  </si>
  <si>
    <t>PRJNA526336</t>
  </si>
  <si>
    <t>sputum</t>
  </si>
  <si>
    <t>National University Biomedical Research Institute</t>
  </si>
  <si>
    <t>Khartoum</t>
  </si>
  <si>
    <t>Sudan</t>
  </si>
  <si>
    <t>clinical material</t>
  </si>
  <si>
    <t>hospital wastewater</t>
  </si>
  <si>
    <t>Carbapenemase-Producing gram-negative bacteria in Djibouti city, Djibouti</t>
  </si>
  <si>
    <t xml:space="preserve">Pus - Nosocomial human infection - ICU
</t>
  </si>
  <si>
    <t xml:space="preserve">Blood - Nosocomial human infection - ICU
</t>
  </si>
  <si>
    <t>Protected specimen brushing (PSB) - Nosocomial human infection - Intensive care unit</t>
  </si>
  <si>
    <t>Cerebrospinal fluid (CSF) - Nosocomial human infection - Intensive care unit</t>
  </si>
  <si>
    <t>Pus - Nosocomial human infection - Otorhinolaryngology unit</t>
  </si>
  <si>
    <t>Pus - Nosocomial human infection - Intensive care unit</t>
  </si>
  <si>
    <t>Blood</t>
  </si>
  <si>
    <t>W/S</t>
  </si>
  <si>
    <t>Wound</t>
  </si>
  <si>
    <t>Urine</t>
  </si>
  <si>
    <t>FC Tip</t>
  </si>
  <si>
    <t>Sputum</t>
  </si>
  <si>
    <t>UVE</t>
  </si>
  <si>
    <t>Throat/s</t>
  </si>
  <si>
    <t>Endotracheal tube</t>
  </si>
  <si>
    <t>Blood culture</t>
  </si>
  <si>
    <t>VAP</t>
  </si>
  <si>
    <t>Chest infection</t>
  </si>
  <si>
    <t>Fever 40</t>
  </si>
  <si>
    <t>Sub ovarian abscess removal</t>
  </si>
  <si>
    <t>Pneumonia</t>
  </si>
  <si>
    <t>pleural</t>
  </si>
  <si>
    <t>FUO</t>
  </si>
  <si>
    <t>Burn 7% face and neck</t>
  </si>
  <si>
    <t>Stroke</t>
  </si>
  <si>
    <t>Splenectomy and feverish</t>
  </si>
  <si>
    <t>Screening swab</t>
  </si>
  <si>
    <t>Respiratory tract</t>
  </si>
  <si>
    <t>Respiratory infection</t>
  </si>
  <si>
    <t>Dial device</t>
  </si>
  <si>
    <t>Environment</t>
  </si>
  <si>
    <t>N/A</t>
  </si>
  <si>
    <t>Bed</t>
  </si>
  <si>
    <t>patient</t>
  </si>
  <si>
    <t>Stethoscope</t>
  </si>
  <si>
    <t>Syringe driver</t>
  </si>
  <si>
    <t>Paramedical personnel</t>
  </si>
  <si>
    <t>Care cart</t>
  </si>
  <si>
    <t>Refrigerator handle</t>
  </si>
  <si>
    <t>Medical personnel</t>
  </si>
  <si>
    <t>Respiratory assistance device</t>
  </si>
  <si>
    <t>Defibrilator</t>
  </si>
  <si>
    <t>Disinfectant dispenser</t>
  </si>
  <si>
    <t>ECG device</t>
  </si>
  <si>
    <t>IV pole</t>
  </si>
  <si>
    <t>Soap dispenser</t>
  </si>
  <si>
    <t>Furniture surface</t>
  </si>
  <si>
    <t>Sink basin</t>
  </si>
  <si>
    <t>Hand swab</t>
  </si>
  <si>
    <t>Environmental swab</t>
  </si>
  <si>
    <t>Sink plumbing trap</t>
  </si>
  <si>
    <t>Carriage</t>
  </si>
  <si>
    <t>Uritritis</t>
  </si>
  <si>
    <t>UTI</t>
  </si>
  <si>
    <t>Acinetobacter baumannii isolated from patients in Libya</t>
  </si>
  <si>
    <t>University of Cologne</t>
  </si>
  <si>
    <t>Acinetobacter baumannii isolated from patients hospitalised in Cairo, Egypt</t>
  </si>
  <si>
    <t>Environmental Surveillance of ESBL and Carbapenemase-Producing Gram-Negative Bacteria in a hospital in Ghana</t>
  </si>
  <si>
    <t>CARDIFF UNIVERSITY</t>
  </si>
  <si>
    <t>Air genomes from surgical room Raw sequence reads</t>
  </si>
  <si>
    <t>RigshospitaleT</t>
  </si>
  <si>
    <t>Carbapenem-resistant Acinetobacter baumannii (CRAB) tested for susceptibility to meropenem/QPX7728</t>
  </si>
  <si>
    <t>Qpex Biopharma</t>
  </si>
  <si>
    <t>Carbapenem-resistant Acinetobacter baumannii (CRAB) tested for susceptibility to meropenem/QPX7729</t>
  </si>
  <si>
    <t>Genomic transmission analysis of multidrug-resistant Gram-negative bacteria within a newborn unit of a Kenyan Tertiary hospital</t>
  </si>
  <si>
    <t>University Hospital, Goethe University Frankfurt am Main, Germany</t>
  </si>
  <si>
    <t>Other GC1 Acinetobacter baumannii Genome sequencing and assembly</t>
  </si>
  <si>
    <t>Healthcare environment Acinetobacter baumannii in Tunisian</t>
  </si>
  <si>
    <t>Botswana_Acinetobacter_baumannii</t>
  </si>
  <si>
    <t>MDR ESKAPE pathogens</t>
  </si>
  <si>
    <t>Whole-Genome Sequencing for Detecting Antimicrobial Resistance in Acinetobacter baumannii isolated from Sudan</t>
  </si>
  <si>
    <t>bacterimia</t>
  </si>
  <si>
    <t>infection</t>
  </si>
  <si>
    <t>AMR and conflict</t>
  </si>
  <si>
    <t>American University of Beirut</t>
  </si>
  <si>
    <t>Whole Genome Sequencing of Multidrug Resistant Acinetobacter baumannii - CCHE57357</t>
  </si>
  <si>
    <t>Children's Cancer Hospital - Egypt 57357 (CCHE57357)</t>
  </si>
  <si>
    <t>Whole Genome Sequencing of Multidrug Resistant Acinetobacter baumannii - CCHE57358</t>
  </si>
  <si>
    <t>Whole Genome Sequencing of Multidrug Resistant Acinetobacter baumannii - CCHE57359</t>
  </si>
  <si>
    <t>Whole Genome Sequencing of Multidrug Resistant Acinetobacter baumannii - CCHE57360</t>
  </si>
  <si>
    <t>Whole Genome Sequencing of Multidrug Resistant Acinetobacter baumannii - CCHE57361</t>
  </si>
  <si>
    <t>Whole Genome Sequencing of Multidrug Resistant Acinetobacter baumannii - CCHE57362</t>
  </si>
  <si>
    <t>Whole Genome Sequencing of Multidrug Resistant Acinetobacter baumannii - CCHE57363</t>
  </si>
  <si>
    <t>Whole Genome Sequencing of Multidrug Resistant Acinetobacter baumannii - CCHE57364</t>
  </si>
  <si>
    <t>Whole Genome Sequencing of Multidrug Resistant Acinetobacter baumannii - CCHE57365</t>
  </si>
  <si>
    <t>Whole Genome Sequencing of Multidrug Resistant Acinetobacter baumannii - CCHE57366</t>
  </si>
  <si>
    <t>Whole Genome Sequencing of Multidrug Resistant Acinetobacter baumannii - CCHE57367</t>
  </si>
  <si>
    <t>Whole Genome Sequencing of Multidrug Resistant Acinetobacter baumannii - CCHE57368</t>
  </si>
  <si>
    <t>Whole Genome Sequencing of Multidrug Resistant Acinetobacter baumannii - CCHE57369</t>
  </si>
  <si>
    <t>Whole Genome Sequencing of Multidrug Resistant Acinetobacter baumannii - CCHE57370</t>
  </si>
  <si>
    <t>Whole Genome Sequencing of Multidrug Resistant Acinetobacter baumannii - CCHE57371</t>
  </si>
  <si>
    <t>Whole Genome Sequencing of Multidrug Resistant Acinetobacter baumannii - CCHE57372</t>
  </si>
  <si>
    <t>Whole Genome Sequencing of Multidrug Resistant Acinetobacter baumannii - CCHE57373</t>
  </si>
  <si>
    <t>Whole Genome Sequencing of Multidrug Resistant Acinetobacter baumannii - CCHE57374</t>
  </si>
  <si>
    <t>Whole Genome Sequencing of Multidrug Resistant Acinetobacter baumannii - CCHE57375</t>
  </si>
  <si>
    <t>Whole Genome Sequencing of Multidrug Resistant Acinetobacter baumannii - CCHE57376</t>
  </si>
  <si>
    <t>Whole Genome Sequencing of Multidrug Resistant Acinetobacter baumannii - CCHE57377</t>
  </si>
  <si>
    <t>Whole Genome Sequencing of Multidrug Resistant Acinetobacter baumannii - CCHE57378</t>
  </si>
  <si>
    <t>Cancer</t>
  </si>
  <si>
    <t>Genomic epidemiology and patterns of antimicrobial resistance of neonatal sepsis in low- and middle-income countries https://barnards-group.com</t>
  </si>
  <si>
    <t>Host Disease</t>
  </si>
  <si>
    <t>Molecular epidemiology of carbapenem-resistant Acinetobacter baumanni</t>
  </si>
  <si>
    <t>Rectal swab</t>
  </si>
  <si>
    <t>Sputun</t>
  </si>
  <si>
    <t>stool</t>
  </si>
  <si>
    <t>pleural aspirate</t>
  </si>
  <si>
    <t>Date (Year)</t>
  </si>
  <si>
    <t>Date (Month)</t>
  </si>
  <si>
    <t>Jan</t>
  </si>
  <si>
    <t>May</t>
  </si>
  <si>
    <t>Feb</t>
  </si>
  <si>
    <t>Mar</t>
  </si>
  <si>
    <t>Apr</t>
  </si>
  <si>
    <t>Sept</t>
  </si>
  <si>
    <t>Nov</t>
  </si>
  <si>
    <t>Aug</t>
  </si>
  <si>
    <t>Jul</t>
  </si>
  <si>
    <t>Oct</t>
  </si>
  <si>
    <t>Jun</t>
  </si>
  <si>
    <t>Dec</t>
  </si>
  <si>
    <t>Gene Summation</t>
  </si>
  <si>
    <t>Gene Name</t>
  </si>
  <si>
    <t>Summation</t>
  </si>
  <si>
    <t>Percentage</t>
  </si>
  <si>
    <t xml:space="preserve"> </t>
  </si>
  <si>
    <t>Row Labels</t>
  </si>
  <si>
    <t>(blank)</t>
  </si>
  <si>
    <t>Grand Total</t>
  </si>
  <si>
    <t>Sum of aac(3)-Ia</t>
  </si>
  <si>
    <t>Sum of aadA1</t>
  </si>
  <si>
    <t>Sum of ant(2'')-Ia</t>
  </si>
  <si>
    <t>Sum of ant(3'')-IIa</t>
  </si>
  <si>
    <t>Sum of aph(3'')-Ib</t>
  </si>
  <si>
    <t>Sum of aph(3')-Ia</t>
  </si>
  <si>
    <t>Sum of aph(6)-Id</t>
  </si>
  <si>
    <t>Sum of armA</t>
  </si>
  <si>
    <t>Sum of blaADC</t>
  </si>
  <si>
    <t>Sum of blaNDM-1</t>
  </si>
  <si>
    <t>Sum of blaOXA-23</t>
  </si>
  <si>
    <t>Sum of blaOXA-66</t>
  </si>
  <si>
    <t>Sum of blaOXA-69</t>
  </si>
  <si>
    <t>Sum of tet(B)</t>
  </si>
  <si>
    <t>Sum of sul2</t>
  </si>
  <si>
    <t>Sum of sul1</t>
  </si>
  <si>
    <t>Sum of qacEdelta1</t>
  </si>
  <si>
    <t>Sum of msr(E)</t>
  </si>
  <si>
    <t>Sum of mph(E)</t>
  </si>
  <si>
    <t>Sum of ble</t>
  </si>
  <si>
    <t>Count of Run Accessions</t>
  </si>
  <si>
    <t>Surgical wound</t>
  </si>
  <si>
    <t>Pasteur ST</t>
  </si>
  <si>
    <t>Isolates Count</t>
  </si>
  <si>
    <t>ST1</t>
  </si>
  <si>
    <t>ST2</t>
  </si>
  <si>
    <t>ST10</t>
  </si>
  <si>
    <t>ST25</t>
  </si>
  <si>
    <t>ST85</t>
  </si>
  <si>
    <t>ST164</t>
  </si>
  <si>
    <t>Countries</t>
  </si>
  <si>
    <t>Year</t>
  </si>
  <si>
    <t>Genomes Count</t>
  </si>
  <si>
    <t>Gene Marker</t>
  </si>
  <si>
    <t>Botswana</t>
  </si>
  <si>
    <t>Others*</t>
  </si>
  <si>
    <t>Total</t>
  </si>
  <si>
    <t>qacEΔ1</t>
  </si>
  <si>
    <t>1999–2015*</t>
  </si>
  <si>
    <t>Isolate Count</t>
  </si>
  <si>
    <t>ST32</t>
  </si>
  <si>
    <t>ST409</t>
  </si>
  <si>
    <t>ST821</t>
  </si>
  <si>
    <t>ST267</t>
  </si>
  <si>
    <t>ST149</t>
  </si>
  <si>
    <t>Others (n=45)</t>
  </si>
  <si>
    <t>Unassigned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</si>
</sst>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9" fontId="0" fillId="0" borderId="0" xfId="43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42" applyNumberFormat="1" applyFont="1"/>
    <xf numFmtId="0" fontId="0" fillId="33" borderId="0" xfId="0" applyFill="1"/>
    <xf numFmtId="9" fontId="0" fillId="33" borderId="0" xfId="43" applyFont="1" applyFill="1"/>
    <xf numFmtId="0" fontId="20" fillId="0" borderId="19" xfId="0" applyFont="1" applyBorder="1" applyAlignment="1">
      <alignment horizontal="left" vertical="center" wrapText="1" indent="1" readingOrder="1"/>
    </xf>
    <xf numFmtId="0" fontId="19" fillId="0" borderId="19" xfId="0" applyFont="1" applyBorder="1" applyAlignment="1">
      <alignment horizontal="left" vertical="center" wrapText="1" indent="1" readingOrder="1"/>
    </xf>
    <xf numFmtId="0" fontId="21" fillId="0" borderId="19" xfId="0" applyFont="1" applyBorder="1" applyAlignment="1">
      <alignment horizontal="left" vertical="center" wrapText="1" indent="1" readingOrder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Pareto</a:t>
            </a:r>
            <a:r>
              <a:rPr lang="en-US" baseline="0"/>
              <a:t> Analysis of AMR Gene Prevalence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Prevalence!$B$1</c:f>
              <c:strCache>
                <c:ptCount val="1"/>
                <c:pt idx="0">
                  <c:v>Summation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Prevalence!$A$2:$A$21</c:f>
              <c:strCache>
                <c:ptCount val="20"/>
                <c:pt idx="0">
                  <c:v>ant(3'')-IIa</c:v>
                </c:pt>
                <c:pt idx="1">
                  <c:v>aph(6)-Id</c:v>
                </c:pt>
                <c:pt idx="2">
                  <c:v>aph(3'')-Ib</c:v>
                </c:pt>
                <c:pt idx="3">
                  <c:v>blaOXA-23</c:v>
                </c:pt>
                <c:pt idx="4">
                  <c:v>sul2</c:v>
                </c:pt>
                <c:pt idx="5">
                  <c:v>msr(E)</c:v>
                </c:pt>
                <c:pt idx="6">
                  <c:v>mph(E)</c:v>
                </c:pt>
                <c:pt idx="7">
                  <c:v>tet(B)</c:v>
                </c:pt>
                <c:pt idx="8">
                  <c:v>sul1</c:v>
                </c:pt>
                <c:pt idx="9">
                  <c:v>qacEdelta1</c:v>
                </c:pt>
                <c:pt idx="10">
                  <c:v>blaNDM-1</c:v>
                </c:pt>
                <c:pt idx="11">
                  <c:v>ble</c:v>
                </c:pt>
                <c:pt idx="12">
                  <c:v>armA</c:v>
                </c:pt>
                <c:pt idx="13">
                  <c:v>aph(3')-Ia</c:v>
                </c:pt>
                <c:pt idx="14">
                  <c:v>aadA1</c:v>
                </c:pt>
                <c:pt idx="15">
                  <c:v>blaOXA-66</c:v>
                </c:pt>
                <c:pt idx="16">
                  <c:v>ant(2'')-Ia</c:v>
                </c:pt>
                <c:pt idx="17">
                  <c:v>aac(3)-Ia</c:v>
                </c:pt>
                <c:pt idx="18">
                  <c:v>blaOXA-69</c:v>
                </c:pt>
                <c:pt idx="19">
                  <c:v>blaADC</c:v>
                </c:pt>
              </c:strCache>
            </c:strRef>
          </c:cat>
          <c:val>
            <c:numRef>
              <c:f>Prevalence!$B$2:$B$21</c:f>
              <c:numCache>
                <c:formatCode>General</c:formatCode>
                <c:ptCount val="20"/>
                <c:pt idx="0">
                  <c:v>370</c:v>
                </c:pt>
                <c:pt idx="1">
                  <c:v>227</c:v>
                </c:pt>
                <c:pt idx="2">
                  <c:v>225</c:v>
                </c:pt>
                <c:pt idx="3">
                  <c:v>215</c:v>
                </c:pt>
                <c:pt idx="4">
                  <c:v>207</c:v>
                </c:pt>
                <c:pt idx="5">
                  <c:v>188</c:v>
                </c:pt>
                <c:pt idx="6">
                  <c:v>185</c:v>
                </c:pt>
                <c:pt idx="7">
                  <c:v>174</c:v>
                </c:pt>
                <c:pt idx="8">
                  <c:v>152</c:v>
                </c:pt>
                <c:pt idx="9">
                  <c:v>145</c:v>
                </c:pt>
                <c:pt idx="10">
                  <c:v>126</c:v>
                </c:pt>
                <c:pt idx="11">
                  <c:v>126</c:v>
                </c:pt>
                <c:pt idx="12">
                  <c:v>122</c:v>
                </c:pt>
                <c:pt idx="13">
                  <c:v>120</c:v>
                </c:pt>
                <c:pt idx="14">
                  <c:v>112</c:v>
                </c:pt>
                <c:pt idx="15">
                  <c:v>105</c:v>
                </c:pt>
                <c:pt idx="16">
                  <c:v>102</c:v>
                </c:pt>
                <c:pt idx="17">
                  <c:v>93</c:v>
                </c:pt>
                <c:pt idx="18">
                  <c:v>77</c:v>
                </c:pt>
                <c:pt idx="1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6-423B-9640-E2E0BDF7D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172496"/>
        <c:axId val="582172016"/>
      </c:barChart>
      <c:lineChart>
        <c:grouping val="standard"/>
        <c:varyColors val="0"/>
        <c:ser>
          <c:idx val="1"/>
          <c:order val="1"/>
          <c:tx>
            <c:strRef>
              <c:f>Prevalence!$C$1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Prevalence!$A$2:$A$21</c:f>
              <c:strCache>
                <c:ptCount val="20"/>
                <c:pt idx="0">
                  <c:v>ant(3'')-IIa</c:v>
                </c:pt>
                <c:pt idx="1">
                  <c:v>aph(6)-Id</c:v>
                </c:pt>
                <c:pt idx="2">
                  <c:v>aph(3'')-Ib</c:v>
                </c:pt>
                <c:pt idx="3">
                  <c:v>blaOXA-23</c:v>
                </c:pt>
                <c:pt idx="4">
                  <c:v>sul2</c:v>
                </c:pt>
                <c:pt idx="5">
                  <c:v>msr(E)</c:v>
                </c:pt>
                <c:pt idx="6">
                  <c:v>mph(E)</c:v>
                </c:pt>
                <c:pt idx="7">
                  <c:v>tet(B)</c:v>
                </c:pt>
                <c:pt idx="8">
                  <c:v>sul1</c:v>
                </c:pt>
                <c:pt idx="9">
                  <c:v>qacEdelta1</c:v>
                </c:pt>
                <c:pt idx="10">
                  <c:v>blaNDM-1</c:v>
                </c:pt>
                <c:pt idx="11">
                  <c:v>ble</c:v>
                </c:pt>
                <c:pt idx="12">
                  <c:v>armA</c:v>
                </c:pt>
                <c:pt idx="13">
                  <c:v>aph(3')-Ia</c:v>
                </c:pt>
                <c:pt idx="14">
                  <c:v>aadA1</c:v>
                </c:pt>
                <c:pt idx="15">
                  <c:v>blaOXA-66</c:v>
                </c:pt>
                <c:pt idx="16">
                  <c:v>ant(2'')-Ia</c:v>
                </c:pt>
                <c:pt idx="17">
                  <c:v>aac(3)-Ia</c:v>
                </c:pt>
                <c:pt idx="18">
                  <c:v>blaOXA-69</c:v>
                </c:pt>
                <c:pt idx="19">
                  <c:v>blaADC</c:v>
                </c:pt>
              </c:strCache>
            </c:strRef>
          </c:cat>
          <c:val>
            <c:numRef>
              <c:f>Prevalence!$C$2:$C$21</c:f>
              <c:numCache>
                <c:formatCode>0%</c:formatCode>
                <c:ptCount val="20"/>
                <c:pt idx="0">
                  <c:v>0.9946236559139785</c:v>
                </c:pt>
                <c:pt idx="1">
                  <c:v>0.61021505376344087</c:v>
                </c:pt>
                <c:pt idx="2">
                  <c:v>0.60483870967741937</c:v>
                </c:pt>
                <c:pt idx="3">
                  <c:v>0.57795698924731187</c:v>
                </c:pt>
                <c:pt idx="4">
                  <c:v>0.55645161290322576</c:v>
                </c:pt>
                <c:pt idx="5">
                  <c:v>0.5053763440860215</c:v>
                </c:pt>
                <c:pt idx="6">
                  <c:v>0.49731182795698925</c:v>
                </c:pt>
                <c:pt idx="7">
                  <c:v>0.46774193548387094</c:v>
                </c:pt>
                <c:pt idx="8">
                  <c:v>0.40860215053763443</c:v>
                </c:pt>
                <c:pt idx="9">
                  <c:v>0.38978494623655913</c:v>
                </c:pt>
                <c:pt idx="10">
                  <c:v>0.33870967741935482</c:v>
                </c:pt>
                <c:pt idx="11">
                  <c:v>0.33870967741935482</c:v>
                </c:pt>
                <c:pt idx="12">
                  <c:v>0.32795698924731181</c:v>
                </c:pt>
                <c:pt idx="13">
                  <c:v>0.32258064516129031</c:v>
                </c:pt>
                <c:pt idx="14">
                  <c:v>0.30107526881720431</c:v>
                </c:pt>
                <c:pt idx="15">
                  <c:v>0.28225806451612906</c:v>
                </c:pt>
                <c:pt idx="16">
                  <c:v>0.27419354838709675</c:v>
                </c:pt>
                <c:pt idx="17">
                  <c:v>0.25</c:v>
                </c:pt>
                <c:pt idx="18">
                  <c:v>0.20698924731182797</c:v>
                </c:pt>
                <c:pt idx="19">
                  <c:v>0.19892473118279569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46-423B-9640-E2E0BDF7D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174896"/>
        <c:axId val="582174416"/>
      </c:lineChart>
      <c:catAx>
        <c:axId val="58217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72016"/>
        <c:crosses val="autoZero"/>
        <c:auto val="1"/>
        <c:lblAlgn val="ctr"/>
        <c:lblOffset val="100"/>
        <c:noMultiLvlLbl val="0"/>
      </c:catAx>
      <c:valAx>
        <c:axId val="58217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72496"/>
        <c:crosses val="autoZero"/>
        <c:crossBetween val="between"/>
      </c:valAx>
      <c:valAx>
        <c:axId val="58217441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174896"/>
        <c:crosses val="max"/>
        <c:crossBetween val="between"/>
      </c:valAx>
      <c:catAx>
        <c:axId val="582174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2174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Prevalence of Antimicrobial resistance</a:t>
            </a:r>
            <a:r>
              <a:rPr lang="en-US" sz="1600" baseline="0"/>
              <a:t> genes in </a:t>
            </a:r>
            <a:r>
              <a:rPr lang="en-US" sz="1600" i="1" baseline="0"/>
              <a:t>A.baumannii</a:t>
            </a:r>
            <a:r>
              <a:rPr lang="en-US" sz="1600" i="0" baseline="0"/>
              <a:t> IN AFRICA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Prevalence!$B$1</c:f>
              <c:strCache>
                <c:ptCount val="1"/>
                <c:pt idx="0">
                  <c:v>Summation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Prevalence!$A$2:$A$21</c:f>
              <c:strCache>
                <c:ptCount val="20"/>
                <c:pt idx="0">
                  <c:v>ant(3'')-IIa</c:v>
                </c:pt>
                <c:pt idx="1">
                  <c:v>aph(6)-Id</c:v>
                </c:pt>
                <c:pt idx="2">
                  <c:v>aph(3'')-Ib</c:v>
                </c:pt>
                <c:pt idx="3">
                  <c:v>blaOXA-23</c:v>
                </c:pt>
                <c:pt idx="4">
                  <c:v>sul2</c:v>
                </c:pt>
                <c:pt idx="5">
                  <c:v>msr(E)</c:v>
                </c:pt>
                <c:pt idx="6">
                  <c:v>mph(E)</c:v>
                </c:pt>
                <c:pt idx="7">
                  <c:v>tet(B)</c:v>
                </c:pt>
                <c:pt idx="8">
                  <c:v>sul1</c:v>
                </c:pt>
                <c:pt idx="9">
                  <c:v>qacEdelta1</c:v>
                </c:pt>
                <c:pt idx="10">
                  <c:v>blaNDM-1</c:v>
                </c:pt>
                <c:pt idx="11">
                  <c:v>ble</c:v>
                </c:pt>
                <c:pt idx="12">
                  <c:v>armA</c:v>
                </c:pt>
                <c:pt idx="13">
                  <c:v>aph(3')-Ia</c:v>
                </c:pt>
                <c:pt idx="14">
                  <c:v>aadA1</c:v>
                </c:pt>
                <c:pt idx="15">
                  <c:v>blaOXA-66</c:v>
                </c:pt>
                <c:pt idx="16">
                  <c:v>ant(2'')-Ia</c:v>
                </c:pt>
                <c:pt idx="17">
                  <c:v>aac(3)-Ia</c:v>
                </c:pt>
                <c:pt idx="18">
                  <c:v>blaOXA-69</c:v>
                </c:pt>
                <c:pt idx="19">
                  <c:v>blaADC</c:v>
                </c:pt>
              </c:strCache>
            </c:strRef>
          </c:cat>
          <c:val>
            <c:numRef>
              <c:f>Prevalence!$B$2:$B$21</c:f>
              <c:numCache>
                <c:formatCode>General</c:formatCode>
                <c:ptCount val="20"/>
                <c:pt idx="0">
                  <c:v>370</c:v>
                </c:pt>
                <c:pt idx="1">
                  <c:v>227</c:v>
                </c:pt>
                <c:pt idx="2">
                  <c:v>225</c:v>
                </c:pt>
                <c:pt idx="3">
                  <c:v>215</c:v>
                </c:pt>
                <c:pt idx="4">
                  <c:v>207</c:v>
                </c:pt>
                <c:pt idx="5">
                  <c:v>188</c:v>
                </c:pt>
                <c:pt idx="6">
                  <c:v>185</c:v>
                </c:pt>
                <c:pt idx="7">
                  <c:v>174</c:v>
                </c:pt>
                <c:pt idx="8">
                  <c:v>152</c:v>
                </c:pt>
                <c:pt idx="9">
                  <c:v>145</c:v>
                </c:pt>
                <c:pt idx="10">
                  <c:v>126</c:v>
                </c:pt>
                <c:pt idx="11">
                  <c:v>126</c:v>
                </c:pt>
                <c:pt idx="12">
                  <c:v>122</c:v>
                </c:pt>
                <c:pt idx="13">
                  <c:v>120</c:v>
                </c:pt>
                <c:pt idx="14">
                  <c:v>112</c:v>
                </c:pt>
                <c:pt idx="15">
                  <c:v>105</c:v>
                </c:pt>
                <c:pt idx="16">
                  <c:v>102</c:v>
                </c:pt>
                <c:pt idx="17">
                  <c:v>93</c:v>
                </c:pt>
                <c:pt idx="18">
                  <c:v>77</c:v>
                </c:pt>
                <c:pt idx="19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9-4F1A-B56B-E900A05A0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7393184"/>
        <c:axId val="707393664"/>
        <c:axId val="0"/>
      </c:bar3DChart>
      <c:catAx>
        <c:axId val="7073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93664"/>
        <c:crosses val="autoZero"/>
        <c:auto val="1"/>
        <c:lblAlgn val="ctr"/>
        <c:lblOffset val="100"/>
        <c:noMultiLvlLbl val="0"/>
      </c:catAx>
      <c:valAx>
        <c:axId val="70739366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39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Prevalence of Key AMR Genes by </a:t>
            </a:r>
            <a:r>
              <a:rPr lang="en-US" i="1"/>
              <a:t>A. baumannii </a:t>
            </a:r>
            <a:r>
              <a:rPr lang="en-US"/>
              <a:t>Sequence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Sheet2!$A$16</c:f>
              <c:strCache>
                <c:ptCount val="1"/>
                <c:pt idx="0">
                  <c:v>ST1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Sheet2!$B$16:$H$16</c:f>
              <c:numCache>
                <c:formatCode>0%</c:formatCode>
                <c:ptCount val="7"/>
                <c:pt idx="0">
                  <c:v>0.984375</c:v>
                </c:pt>
                <c:pt idx="1">
                  <c:v>0.890625</c:v>
                </c:pt>
                <c:pt idx="2">
                  <c:v>0.796875</c:v>
                </c:pt>
                <c:pt idx="3">
                  <c:v>0.453125</c:v>
                </c:pt>
                <c:pt idx="4">
                  <c:v>0.75</c:v>
                </c:pt>
                <c:pt idx="5">
                  <c:v>0.765625</c:v>
                </c:pt>
                <c:pt idx="6">
                  <c:v>0.4375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8-4120-AD76-59946AAF8B50}"/>
            </c:ext>
          </c:extLst>
        </c:ser>
        <c:ser>
          <c:idx val="1"/>
          <c:order val="1"/>
          <c:tx>
            <c:strRef>
              <c:f>Sheet2!$A$17</c:f>
              <c:strCache>
                <c:ptCount val="1"/>
                <c:pt idx="0">
                  <c:v>ST2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Sheet2!$B$17:$H$17</c:f>
              <c:numCache>
                <c:formatCode>0%</c:formatCode>
                <c:ptCount val="7"/>
                <c:pt idx="0">
                  <c:v>1</c:v>
                </c:pt>
                <c:pt idx="1">
                  <c:v>0.86138613861386137</c:v>
                </c:pt>
                <c:pt idx="2">
                  <c:v>0.35643564356435642</c:v>
                </c:pt>
                <c:pt idx="3">
                  <c:v>0.7722772277227723</c:v>
                </c:pt>
                <c:pt idx="4">
                  <c:v>0.8910891089108911</c:v>
                </c:pt>
                <c:pt idx="5">
                  <c:v>0.12871287128712872</c:v>
                </c:pt>
                <c:pt idx="6">
                  <c:v>0.73267326732673266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8-4120-AD76-59946AAF8B50}"/>
            </c:ext>
          </c:extLst>
        </c:ser>
        <c:ser>
          <c:idx val="2"/>
          <c:order val="2"/>
          <c:tx>
            <c:strRef>
              <c:f>Sheet2!$A$18</c:f>
              <c:strCache>
                <c:ptCount val="1"/>
                <c:pt idx="0">
                  <c:v>ST10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Sheet2!$B$18:$H$18</c:f>
              <c:numCache>
                <c:formatCode>0%</c:formatCode>
                <c:ptCount val="7"/>
                <c:pt idx="0">
                  <c:v>1</c:v>
                </c:pt>
                <c:pt idx="1">
                  <c:v>0.81818181818181823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18-4120-AD76-59946AAF8B50}"/>
            </c:ext>
          </c:extLst>
        </c:ser>
        <c:ser>
          <c:idx val="3"/>
          <c:order val="3"/>
          <c:tx>
            <c:strRef>
              <c:f>Sheet2!$A$19</c:f>
              <c:strCache>
                <c:ptCount val="1"/>
                <c:pt idx="0">
                  <c:v>ST25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Sheet2!$B$19:$H$19</c:f>
              <c:numCache>
                <c:formatCode>0%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0.54545454545454541</c:v>
                </c:pt>
                <c:pt idx="4">
                  <c:v>0.36363636363636365</c:v>
                </c:pt>
                <c:pt idx="5">
                  <c:v>0</c:v>
                </c:pt>
                <c:pt idx="6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18-4120-AD76-59946AAF8B50}"/>
            </c:ext>
          </c:extLst>
        </c:ser>
        <c:ser>
          <c:idx val="4"/>
          <c:order val="4"/>
          <c:tx>
            <c:strRef>
              <c:f>Sheet2!$A$20</c:f>
              <c:strCache>
                <c:ptCount val="1"/>
                <c:pt idx="0">
                  <c:v>ST85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Sheet2!$B$20:$H$20</c:f>
              <c:numCache>
                <c:formatCode>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18-4120-AD76-59946AAF8B50}"/>
            </c:ext>
          </c:extLst>
        </c:ser>
        <c:ser>
          <c:idx val="5"/>
          <c:order val="5"/>
          <c:tx>
            <c:strRef>
              <c:f>Sheet2!$A$21</c:f>
              <c:strCache>
                <c:ptCount val="1"/>
                <c:pt idx="0">
                  <c:v>ST164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Sheet2!$B$15:$H$15</c:f>
              <c:strCache>
                <c:ptCount val="7"/>
                <c:pt idx="0">
                  <c:v>ant(3'')-IIa</c:v>
                </c:pt>
                <c:pt idx="1">
                  <c:v>blaOXA-23</c:v>
                </c:pt>
                <c:pt idx="2">
                  <c:v>sul2</c:v>
                </c:pt>
                <c:pt idx="3">
                  <c:v>msr(E)</c:v>
                </c:pt>
                <c:pt idx="4">
                  <c:v>tet(B)</c:v>
                </c:pt>
                <c:pt idx="5">
                  <c:v>blaNDM-1</c:v>
                </c:pt>
                <c:pt idx="6">
                  <c:v>armA</c:v>
                </c:pt>
              </c:strCache>
            </c:strRef>
          </c:cat>
          <c:val>
            <c:numRef>
              <c:f>Sheet2!$B$21:$H$21</c:f>
              <c:numCache>
                <c:formatCode>0%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0.58333333333333337</c:v>
                </c:pt>
                <c:pt idx="3">
                  <c:v>0.16666666666666666</c:v>
                </c:pt>
                <c:pt idx="4">
                  <c:v>0</c:v>
                </c:pt>
                <c:pt idx="5">
                  <c:v>8.3333333333333329E-2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18-4120-AD76-59946AAF8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7573056"/>
        <c:axId val="1287569696"/>
      </c:barChart>
      <c:catAx>
        <c:axId val="128757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69696"/>
        <c:crosses val="autoZero"/>
        <c:auto val="1"/>
        <c:lblAlgn val="ctr"/>
        <c:lblOffset val="100"/>
        <c:noMultiLvlLbl val="0"/>
      </c:catAx>
      <c:valAx>
        <c:axId val="12875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7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Sheet2!$B$15</c:f>
              <c:strCache>
                <c:ptCount val="1"/>
                <c:pt idx="0">
                  <c:v>ant(3'')-IIa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Sheet2!$B$16:$B$21</c:f>
              <c:numCache>
                <c:formatCode>0%</c:formatCode>
                <c:ptCount val="6"/>
                <c:pt idx="0">
                  <c:v>0.984375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9-4010-BF4A-D50283C1E942}"/>
            </c:ext>
          </c:extLst>
        </c:ser>
        <c:ser>
          <c:idx val="1"/>
          <c:order val="1"/>
          <c:tx>
            <c:strRef>
              <c:f>Sheet2!$C$15</c:f>
              <c:strCache>
                <c:ptCount val="1"/>
                <c:pt idx="0">
                  <c:v>blaOXA-23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Sheet2!$C$16:$C$21</c:f>
              <c:numCache>
                <c:formatCode>0%</c:formatCode>
                <c:ptCount val="6"/>
                <c:pt idx="0">
                  <c:v>0.890625</c:v>
                </c:pt>
                <c:pt idx="1">
                  <c:v>0.86138613861386137</c:v>
                </c:pt>
                <c:pt idx="2">
                  <c:v>0.81818181818181823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09-4010-BF4A-D50283C1E942}"/>
            </c:ext>
          </c:extLst>
        </c:ser>
        <c:ser>
          <c:idx val="2"/>
          <c:order val="2"/>
          <c:tx>
            <c:strRef>
              <c:f>Sheet2!$D$15</c:f>
              <c:strCache>
                <c:ptCount val="1"/>
                <c:pt idx="0">
                  <c:v>sul2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Sheet2!$D$16:$D$21</c:f>
              <c:numCache>
                <c:formatCode>0%</c:formatCode>
                <c:ptCount val="6"/>
                <c:pt idx="0">
                  <c:v>0.796875</c:v>
                </c:pt>
                <c:pt idx="1">
                  <c:v>0.35643564356435642</c:v>
                </c:pt>
                <c:pt idx="2">
                  <c:v>9.0909090909090912E-2</c:v>
                </c:pt>
                <c:pt idx="3">
                  <c:v>1</c:v>
                </c:pt>
                <c:pt idx="4">
                  <c:v>1</c:v>
                </c:pt>
                <c:pt idx="5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9-4010-BF4A-D50283C1E942}"/>
            </c:ext>
          </c:extLst>
        </c:ser>
        <c:ser>
          <c:idx val="3"/>
          <c:order val="3"/>
          <c:tx>
            <c:strRef>
              <c:f>Sheet2!$E$15</c:f>
              <c:strCache>
                <c:ptCount val="1"/>
                <c:pt idx="0">
                  <c:v>msr(E)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Sheet2!$E$16:$E$21</c:f>
              <c:numCache>
                <c:formatCode>0%</c:formatCode>
                <c:ptCount val="6"/>
                <c:pt idx="0">
                  <c:v>0.453125</c:v>
                </c:pt>
                <c:pt idx="1">
                  <c:v>0.7722772277227723</c:v>
                </c:pt>
                <c:pt idx="2">
                  <c:v>0</c:v>
                </c:pt>
                <c:pt idx="3">
                  <c:v>0.54545454545454541</c:v>
                </c:pt>
                <c:pt idx="4">
                  <c:v>1</c:v>
                </c:pt>
                <c:pt idx="5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9-4010-BF4A-D50283C1E942}"/>
            </c:ext>
          </c:extLst>
        </c:ser>
        <c:ser>
          <c:idx val="4"/>
          <c:order val="4"/>
          <c:tx>
            <c:strRef>
              <c:f>Sheet2!$F$15</c:f>
              <c:strCache>
                <c:ptCount val="1"/>
                <c:pt idx="0">
                  <c:v>tet(B)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Sheet2!$F$16:$F$21</c:f>
              <c:numCache>
                <c:formatCode>0%</c:formatCode>
                <c:ptCount val="6"/>
                <c:pt idx="0">
                  <c:v>0.75</c:v>
                </c:pt>
                <c:pt idx="1">
                  <c:v>0.8910891089108911</c:v>
                </c:pt>
                <c:pt idx="2">
                  <c:v>0</c:v>
                </c:pt>
                <c:pt idx="3">
                  <c:v>0.36363636363636365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9-4010-BF4A-D50283C1E942}"/>
            </c:ext>
          </c:extLst>
        </c:ser>
        <c:ser>
          <c:idx val="5"/>
          <c:order val="5"/>
          <c:tx>
            <c:strRef>
              <c:f>Sheet2!$G$15</c:f>
              <c:strCache>
                <c:ptCount val="1"/>
                <c:pt idx="0">
                  <c:v>blaNDM-1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Sheet2!$G$16:$G$21</c:f>
              <c:numCache>
                <c:formatCode>0%</c:formatCode>
                <c:ptCount val="6"/>
                <c:pt idx="0">
                  <c:v>0.765625</c:v>
                </c:pt>
                <c:pt idx="1">
                  <c:v>0.12871287128712872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09-4010-BF4A-D50283C1E942}"/>
            </c:ext>
          </c:extLst>
        </c:ser>
        <c:ser>
          <c:idx val="6"/>
          <c:order val="6"/>
          <c:tx>
            <c:strRef>
              <c:f>Sheet2!$H$15</c:f>
              <c:strCache>
                <c:ptCount val="1"/>
                <c:pt idx="0">
                  <c:v>armA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Sheet2!$A$16:$A$21</c:f>
              <c:strCache>
                <c:ptCount val="6"/>
                <c:pt idx="0">
                  <c:v>ST1</c:v>
                </c:pt>
                <c:pt idx="1">
                  <c:v>ST2</c:v>
                </c:pt>
                <c:pt idx="2">
                  <c:v>ST10</c:v>
                </c:pt>
                <c:pt idx="3">
                  <c:v>ST25</c:v>
                </c:pt>
                <c:pt idx="4">
                  <c:v>ST85</c:v>
                </c:pt>
                <c:pt idx="5">
                  <c:v>ST164</c:v>
                </c:pt>
              </c:strCache>
            </c:strRef>
          </c:cat>
          <c:val>
            <c:numRef>
              <c:f>Sheet2!$H$16:$H$21</c:f>
              <c:numCache>
                <c:formatCode>0%</c:formatCode>
                <c:ptCount val="6"/>
                <c:pt idx="0">
                  <c:v>0.4375</c:v>
                </c:pt>
                <c:pt idx="1">
                  <c:v>0.73267326732673266</c:v>
                </c:pt>
                <c:pt idx="2">
                  <c:v>0</c:v>
                </c:pt>
                <c:pt idx="3">
                  <c:v>0.54545454545454541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09-4010-BF4A-D50283C1E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0358927"/>
        <c:axId val="970249487"/>
      </c:barChart>
      <c:catAx>
        <c:axId val="97035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49487"/>
        <c:crosses val="autoZero"/>
        <c:auto val="1"/>
        <c:lblAlgn val="ctr"/>
        <c:lblOffset val="100"/>
        <c:noMultiLvlLbl val="0"/>
      </c:catAx>
      <c:valAx>
        <c:axId val="9702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Cumulative Gene Prevalence (%)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35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21651</xdr:colOff>
      <xdr:row>33</xdr:row>
      <xdr:rowOff>17398</xdr:rowOff>
    </xdr:from>
    <xdr:to>
      <xdr:col>16</xdr:col>
      <xdr:colOff>10583</xdr:colOff>
      <xdr:row>58</xdr:row>
      <xdr:rowOff>148166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088C8-0A45-77CA-7687-E2CCF84DC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585154</xdr:colOff>
      <xdr:row>3</xdr:row>
      <xdr:rowOff>11876</xdr:rowOff>
    </xdr:from>
    <xdr:to>
      <xdr:col>16</xdr:col>
      <xdr:colOff>21166</xdr:colOff>
      <xdr:row>28</xdr:row>
      <xdr:rowOff>10582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7C3D60-5446-5B15-276B-11D8DE1E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518017</xdr:colOff>
      <xdr:row>26</xdr:row>
      <xdr:rowOff>62479</xdr:rowOff>
    </xdr:from>
    <xdr:to>
      <xdr:col>16</xdr:col>
      <xdr:colOff>149474</xdr:colOff>
      <xdr:row>48</xdr:row>
      <xdr:rowOff>96526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858B8-AE4B-C268-6EB9-1385C1FA1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478276</xdr:colOff>
      <xdr:row>23</xdr:row>
      <xdr:rowOff>91602</xdr:rowOff>
    </xdr:from>
    <xdr:to>
      <xdr:col>25</xdr:col>
      <xdr:colOff>591765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AA65F7-D053-D0A9-CE62-A138CE5F3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nel Ezeigwe" refreshedDate="45968.992311226852" createdVersion="8" refreshedVersion="8" minRefreshableVersion="3" recordCount="372" xr:uid="{F9E19870-8A0E-4175-8F70-33D402026FE9}">
  <cacheSource type="worksheet">
    <worksheetSource ref="A1:FJ373" sheet="microreact_metadata_final"/>
  </cacheSource>
  <cacheFields count="170">
    <cacheField name="Run Accessions" numFmtId="0">
      <sharedItems count="372">
        <s v="ERR10710700"/>
        <s v="ERR10710702"/>
        <s v="ERR10710703"/>
        <s v="ERR10710705"/>
        <s v="ERR10710706"/>
        <s v="ERR10710707"/>
        <s v="ERR10710709"/>
        <s v="ERR10782663"/>
        <s v="ERR10782668"/>
        <s v="ERR10782671"/>
        <s v="ERR10782676"/>
        <s v="ERR10782680"/>
        <s v="ERR10782688"/>
        <s v="ERR10782695"/>
        <s v="ERR10782717"/>
        <s v="ERR10782743"/>
        <s v="ERR10783123"/>
        <s v="ERR10783128"/>
        <s v="ERR10783132"/>
        <s v="ERR10783138"/>
        <s v="ERR10783144"/>
        <s v="ERR10783153"/>
        <s v="ERR10783156"/>
        <s v="ERR10783159"/>
        <s v="ERR10783163"/>
        <s v="ERR10783166"/>
        <s v="ERR10783178"/>
        <s v="ERR10787957"/>
        <s v="ERR10787959"/>
        <s v="ERR10787961"/>
        <s v="ERR10788033"/>
        <s v="ERR10788115"/>
        <s v="ERR10788118"/>
        <s v="ERR10788121"/>
        <s v="ERR10794274"/>
        <s v="ERR10794308"/>
        <s v="ERR10794316"/>
        <s v="ERR10794327"/>
        <s v="ERR10802836"/>
        <s v="ERR10802837"/>
        <s v="ERR10805899"/>
        <s v="ERR10808103"/>
        <s v="ERR10808115"/>
        <s v="ERR10808136"/>
        <s v="ERR10809417"/>
        <s v="ERR10809418"/>
        <s v="ERR10812834"/>
        <s v="ERR10812835"/>
        <s v="ERR10812836"/>
        <s v="ERR10812837"/>
        <s v="ERR10812838"/>
        <s v="ERR10812839"/>
        <s v="ERR10812840"/>
        <s v="ERR10812841"/>
        <s v="ERR10812867"/>
        <s v="ERR10812868"/>
        <s v="ERR10812869"/>
        <s v="ERR10812870"/>
        <s v="ERR10812871"/>
        <s v="ERR10812872"/>
        <s v="ERR10812873"/>
        <s v="ERR10820997"/>
        <s v="ERR10852925"/>
        <s v="ERR10852926"/>
        <s v="ERR10852929"/>
        <s v="ERR10852931"/>
        <s v="ERR10852932"/>
        <s v="ERR10852933"/>
        <s v="ERR10852935"/>
        <s v="ERR10852936"/>
        <s v="ERR10852938"/>
        <s v="ERR10852993"/>
        <s v="ERR10852995"/>
        <s v="ERR10852996"/>
        <s v="ERR10853648"/>
        <s v="ERR10854234"/>
        <s v="ERR10854472"/>
        <s v="ERR10854473"/>
        <s v="ERR10854474"/>
        <s v="ERR10854475"/>
        <s v="ERR10854476"/>
        <s v="ERR10854480"/>
        <s v="ERR10854483"/>
        <s v="ERR10854484"/>
        <s v="ERR3569448"/>
        <s v="ERR3569449"/>
        <s v="ERR3569450"/>
        <s v="ERR3569451"/>
        <s v="ERR4436595"/>
        <s v="ERR4436596"/>
        <s v="ERR4436597"/>
        <s v="ERR4436754"/>
        <s v="ERR4783167"/>
        <s v="ERR4783172"/>
        <s v="ERR4783180"/>
        <s v="ERR4783186"/>
        <s v="ERR4783188"/>
        <s v="ERR4783194"/>
        <s v="ERR4783195"/>
        <s v="ERR4783200"/>
        <s v="ERR4783203"/>
        <s v="ERR4783208"/>
        <s v="ERR4783214"/>
        <s v="ERR4783216"/>
        <s v="ERR4783222"/>
        <s v="ERR4783223"/>
        <s v="ERR4783228"/>
        <s v="ERR4783231"/>
        <s v="ERR4783239"/>
        <s v="ERR4783244"/>
        <s v="ERR4783250"/>
        <s v="ERR4783252"/>
        <s v="ERR4783258"/>
        <s v="ERR4783259"/>
        <s v="ERR4783264"/>
        <s v="ERR4783385"/>
        <s v="ERR4783387"/>
        <s v="ERR4783391"/>
        <s v="ERR4783394"/>
        <s v="ERR4783401"/>
        <s v="ERR4783411"/>
        <s v="ERR4783413"/>
        <s v="ERR4783415"/>
        <s v="ERR4783417"/>
        <s v="ERR4783419"/>
        <s v="ERR4783518"/>
        <s v="ERR4919979"/>
        <s v="ERR4919980"/>
        <s v="ERR4919981"/>
        <s v="ERR4919983"/>
        <s v="ERR4919984"/>
        <s v="ERR4919985"/>
        <s v="ERR4919991"/>
        <s v="ERR4919992"/>
        <s v="ERR4919993"/>
        <s v="ERR4920008"/>
        <s v="ERR4920011"/>
        <s v="ERR4920012"/>
        <s v="ERR4920013"/>
        <s v="ERR4999559"/>
        <s v="ERR4999560"/>
        <s v="ERR4999561"/>
        <s v="ERR4999562"/>
        <s v="ERR4999563"/>
        <s v="ERR4999564"/>
        <s v="ERR4999566"/>
        <s v="ERR4999567"/>
        <s v="ERR4999568"/>
        <s v="ERR4999569"/>
        <s v="ERR4999570"/>
        <s v="ERR4999571"/>
        <s v="ERR4999572"/>
        <s v="ERR4999574"/>
        <s v="ERR4999575"/>
        <s v="ERR4999577"/>
        <s v="ERR5000113"/>
        <s v="ERR5000114"/>
        <s v="ERR5000123"/>
        <s v="ERR5000189"/>
        <s v="ERR5000190"/>
        <s v="ERR5000204"/>
        <s v="ERR5205865"/>
        <s v="ERR5205866"/>
        <s v="ERR5205867"/>
        <s v="ERR5205868"/>
        <s v="ERR5205869"/>
        <s v="ERR5205871"/>
        <s v="ERR6938061"/>
        <s v="ERR6938074"/>
        <s v="ERR6938077"/>
        <s v="ERR6938084"/>
        <s v="ERR6938087"/>
        <s v="ERR6938090"/>
        <s v="ERR6938093"/>
        <s v="ERR6938096"/>
        <s v="ERR6938099"/>
        <s v="ERR6938111"/>
        <s v="ERR6938114"/>
        <s v="ERR6938153"/>
        <s v="ERR6938409"/>
        <s v="ERR6938479"/>
        <s v="ERR6938729"/>
        <s v="ERR6938731"/>
        <s v="ERR6938732"/>
        <s v="ERR6938733"/>
        <s v="ERR6938734"/>
        <s v="ERR6938735"/>
        <s v="ERR6938736"/>
        <s v="ERR6938738"/>
        <s v="ERR6938739"/>
        <s v="ERR6938740"/>
        <s v="ERR6938741"/>
        <s v="ERR6938743"/>
        <s v="ERR6938745"/>
        <s v="ERR6938749"/>
        <s v="ERR6938913"/>
        <s v="ERR6938928"/>
        <s v="ERR6938929"/>
        <s v="ERR6938931"/>
        <s v="ERR7226293"/>
        <s v="ERR7226295"/>
        <s v="ERR7226554"/>
        <s v="ERR7226556"/>
        <s v="ERR7226586"/>
        <s v="ERR7226588"/>
        <s v="ERR7226590"/>
        <s v="ERR7226592"/>
        <s v="ERR7226594"/>
        <s v="ERR7226612"/>
        <s v="ERR7226614"/>
        <s v="ERR7226616"/>
        <s v="ERR7226618"/>
        <s v="ERR7226620"/>
        <s v="ERR7226622"/>
        <s v="ERR7226626"/>
        <s v="ERR7226644"/>
        <s v="ERR7226646"/>
        <s v="ERR7226648"/>
        <s v="ERR7226650"/>
        <s v="ERR7226654"/>
        <s v="ERR7226656"/>
        <s v="ERR7226658"/>
        <s v="ERR7226676"/>
        <s v="ERR7226678"/>
        <s v="ERR7226680"/>
        <s v="ERR7226688"/>
        <s v="ERR7226690"/>
        <s v="ERR8024946"/>
        <s v="ERR8024947"/>
        <s v="ERR8024950"/>
        <s v="ERR8024951"/>
        <s v="ERR8024959"/>
        <s v="SRR10583096"/>
        <s v="SRR11514880"/>
        <s v="SRR11589174"/>
        <s v="SRR11589267"/>
        <s v="SRR12905336"/>
        <s v="SRR12905337"/>
        <s v="SRR12905338"/>
        <s v="SRR12905341"/>
        <s v="SRR13327178"/>
        <s v="SRR13327179"/>
        <s v="SRR13327181"/>
        <s v="SRR13327185"/>
        <s v="SRR13327186"/>
        <s v="SRR13327187"/>
        <s v="SRR13327189"/>
        <s v="SRR13327190"/>
        <s v="SRR13327191"/>
        <s v="SRR13327192"/>
        <s v="SRR13327193"/>
        <s v="SRR13327194"/>
        <s v="SRR13327196"/>
        <s v="SRR13327198"/>
        <s v="SRR13327199"/>
        <s v="SRR13327200"/>
        <s v="SRR13327201"/>
        <s v="SRR13327203"/>
        <s v="SRR13327204"/>
        <s v="SRR13327205"/>
        <s v="SRR13327206"/>
        <s v="SRR13327207"/>
        <s v="SRR13401434"/>
        <s v="SRR13430624"/>
        <s v="SRR13430625"/>
        <s v="SRR13430626"/>
        <s v="SRR13430627"/>
        <s v="SRR14100602"/>
        <s v="SRR14101519"/>
        <s v="SRR14101547"/>
        <s v="SRR14101709"/>
        <s v="SRR14101949"/>
        <s v="SRR14102219"/>
        <s v="SRR14102306"/>
        <s v="SRR14102521"/>
        <s v="SRR14116705"/>
        <s v="SRR14116736"/>
        <s v="SRR14280111"/>
        <s v="SRR14455652"/>
        <s v="SRR17931033"/>
        <s v="SRR17931048"/>
        <s v="SRR17931144"/>
        <s v="SRR17931145"/>
        <s v="SRR18114233"/>
        <s v="SRR19107616"/>
        <s v="SRR25445074"/>
        <s v="SRR25445075"/>
        <s v="SRR25445076"/>
        <s v="SRR25445077"/>
        <s v="SRR25445078"/>
        <s v="SRR25445079"/>
        <s v="SRR25445080"/>
        <s v="SRR25445081"/>
        <s v="SRR25445082"/>
        <s v="SRR25445083"/>
        <s v="SRR25445084"/>
        <s v="SRR25445085"/>
        <s v="SRR25445086"/>
        <s v="SRR25445087"/>
        <s v="SRR25445088"/>
        <s v="SRR25445089"/>
        <s v="SRR25445090"/>
        <s v="SRR25445091"/>
        <s v="SRR25445092"/>
        <s v="SRR25445093"/>
        <s v="SRR25445094"/>
        <s v="SRR25445095"/>
        <s v="SRR25445096"/>
        <s v="SRR25445097"/>
        <s v="SRR25445098"/>
        <s v="SRR25445099"/>
        <s v="SRR25445100"/>
        <s v="SRR25445101"/>
        <s v="SRR25445102"/>
        <s v="SRR25445103"/>
        <s v="SRR25445104"/>
        <s v="SRR25445105"/>
        <s v="SRR25445106"/>
        <s v="SRR25445107"/>
        <s v="SRR25445108"/>
        <s v="SRR25445109"/>
        <s v="SRR25445110"/>
        <s v="SRR25445111"/>
        <s v="SRR25445112"/>
        <s v="SRR25445113"/>
        <s v="SRR25445114"/>
        <s v="SRR25445115"/>
        <s v="SRR25445116"/>
        <s v="SRR25445117"/>
        <s v="SRR25445118"/>
        <s v="SRR25445119"/>
        <s v="SRR25445120"/>
        <s v="SRR25445121"/>
        <s v="SRR25445122"/>
        <s v="SRR25445123"/>
        <s v="SRR25445124"/>
        <s v="SRR25445125"/>
        <s v="SRR25445126"/>
        <s v="SRR25445127"/>
        <s v="SRR25445128"/>
        <s v="SRR28167554"/>
        <s v="SRR28167555"/>
        <s v="SRR28167556"/>
        <s v="SRR28167557"/>
        <s v="SRR28167558"/>
        <s v="SRR28167559"/>
        <s v="SRR28167560"/>
        <s v="SRR28167561"/>
        <s v="SRR28167562"/>
        <s v="SRR28167563"/>
        <s v="SRR28167564"/>
        <s v="SRR28167565"/>
        <s v="SRR28167566"/>
        <s v="SRR28167567"/>
        <s v="SRR28167569"/>
        <s v="SRR28167570"/>
        <s v="SRR28167571"/>
        <s v="SRR28167572"/>
        <s v="SRR28167573"/>
        <s v="SRR28167574"/>
        <s v="SRR28167575"/>
        <s v="SRR28167576"/>
        <s v="SRR28167577"/>
        <s v="SRR28167578"/>
        <s v="SRR28167579"/>
        <s v="SRR28167581"/>
        <s v="SRR28167582"/>
        <s v="SRR28167584"/>
        <s v="SRR28824822"/>
        <s v="SRR8618098"/>
        <s v="SRR8618099"/>
        <s v="SRR9017260"/>
      </sharedItems>
    </cacheField>
    <cacheField name="Sample Accessions" numFmtId="0">
      <sharedItems/>
    </cacheField>
    <cacheField name="Date (Month)" numFmtId="0">
      <sharedItems containsBlank="1" count="14">
        <s v="-"/>
        <m/>
        <s v="Jan"/>
        <s v="May"/>
        <s v="Sept"/>
        <s v="Jun"/>
        <s v="Nov"/>
        <s v="Feb"/>
        <s v="Apr"/>
        <s v="Aug"/>
        <s v="Jul"/>
        <s v="Oct"/>
        <s v="Mar"/>
        <s v="Dec"/>
      </sharedItems>
    </cacheField>
    <cacheField name="Date (Year)" numFmtId="0">
      <sharedItems containsDate="1" containsString="0" containsBlank="1" containsMixedTypes="1" minDate="1900-01-02T14:40:04" maxDate="1900-01-06T10:40:04" count="33">
        <n v="2021"/>
        <n v="2022"/>
        <n v="2017"/>
        <m/>
        <n v="2016"/>
        <d v="2019-03-06T00:00:00"/>
        <d v="2012-01-01T00:00:00"/>
        <d v="2014-01-01T00:00:00"/>
        <d v="2019-01-01T00:00:00"/>
        <d v="2017-05-30T00:00:00"/>
        <d v="2017-06-04T00:00:00"/>
        <d v="2017-01-18T00:00:00"/>
        <d v="2018-11-17T00:00:00"/>
        <d v="2018-02-24T00:00:00"/>
        <d v="2018-05-08T00:00:00"/>
        <d v="2018-04-02T00:00:00"/>
        <d v="2018-08-11T00:00:00"/>
        <d v="2018-09-14T00:00:00"/>
        <d v="2018-09-15T00:00:00"/>
        <d v="2016-11-15T00:00:00"/>
        <d v="2018-02-12T00:00:00"/>
        <d v="2018-02-05T00:00:00"/>
        <d v="2018-02-21T00:00:00"/>
        <d v="2018-07-01T00:00:00"/>
        <d v="2018-07-08T00:00:00"/>
        <d v="2018-10-26T00:00:00"/>
        <d v="2017-07-08T00:00:00"/>
        <d v="2016-10-14T00:00:00"/>
        <n v="2020"/>
        <n v="2019"/>
        <n v="1999"/>
        <n v="2007"/>
        <n v="2015"/>
      </sharedItems>
    </cacheField>
    <cacheField name="Study Accessions" numFmtId="0">
      <sharedItems/>
    </cacheField>
    <cacheField name="latitude" numFmtId="0">
      <sharedItems containsSemiMixedTypes="0" containsString="0" containsNumber="1" minValue="-33.913809999999998" maxValue="33.886916999999997"/>
    </cacheField>
    <cacheField name="longitude" numFmtId="0">
      <sharedItems containsSemiMixedTypes="0" containsString="0" containsNumber="1" minValue="-6" maxValue="105.83"/>
    </cacheField>
    <cacheField name="Genome ID" numFmtId="0">
      <sharedItems/>
    </cacheField>
    <cacheField name="Genome Name" numFmtId="0">
      <sharedItems/>
    </cacheField>
    <cacheField name="Version" numFmtId="0">
      <sharedItems/>
    </cacheField>
    <cacheField name="Organism Name" numFmtId="0">
      <sharedItems/>
    </cacheField>
    <cacheField name="Organism ID" numFmtId="0">
      <sharedItems containsSemiMixedTypes="0" containsString="0" containsNumber="1" containsInteger="1" minValue="470" maxValue="470"/>
    </cacheField>
    <cacheField name="Species Name" numFmtId="0">
      <sharedItems/>
    </cacheField>
    <cacheField name="Species ID" numFmtId="0">
      <sharedItems containsSemiMixedTypes="0" containsString="0" containsNumber="1" containsInteger="1" minValue="470" maxValue="470"/>
    </cacheField>
    <cacheField name="Genus Name" numFmtId="0">
      <sharedItems/>
    </cacheField>
    <cacheField name="Genus ID" numFmtId="0">
      <sharedItems containsSemiMixedTypes="0" containsString="0" containsNumber="1" containsInteger="1" minValue="469" maxValue="469"/>
    </cacheField>
    <cacheField name="Reference Library" numFmtId="0">
      <sharedItems/>
    </cacheField>
    <cacheField name="Reference ID" numFmtId="0">
      <sharedItems/>
    </cacheField>
    <cacheField name="Matching Hashes" numFmtId="0">
      <sharedItems/>
    </cacheField>
    <cacheField name="p-Value" numFmtId="0">
      <sharedItems containsSemiMixedTypes="0" containsString="0" containsNumber="1" containsInteger="1" minValue="0" maxValue="0"/>
    </cacheField>
    <cacheField name="Mash Distance" numFmtId="0">
      <sharedItems containsMixedTypes="1" containsNumber="1" minValue="0" maxValue="2.20623E-2"/>
    </cacheField>
    <cacheField name="Isolation source" numFmtId="0">
      <sharedItems containsBlank="1"/>
    </cacheField>
    <cacheField name="Host" numFmtId="0">
      <sharedItems containsBlank="1"/>
    </cacheField>
    <cacheField name="Host Disease" numFmtId="0">
      <sharedItems containsBlank="1"/>
    </cacheField>
    <cacheField name="Study Title" numFmtId="0">
      <sharedItems/>
    </cacheField>
    <cacheField name="CENTER NAME" numFmtId="0">
      <sharedItems/>
    </cacheField>
    <cacheField name="City/region" numFmtId="0">
      <sharedItems containsBlank="1"/>
    </cacheField>
    <cacheField name="Country" numFmtId="0">
      <sharedItems containsBlank="1" count="15">
        <s v="Republic of Djibouti"/>
        <s v="Nigeria"/>
        <s v="South Africa"/>
        <s v="Morocco"/>
        <s v="Egypt"/>
        <s v="Ethiopia"/>
        <s v="Rwanda"/>
        <s v="Libya"/>
        <s v="Ghana"/>
        <s v="Benin"/>
        <s v="Kenya"/>
        <s v="Tunisian"/>
        <s v="Bostwana"/>
        <m/>
        <s v="Sudan"/>
      </sharedItems>
    </cacheField>
    <cacheField name="aac(3)-IId" numFmtId="0">
      <sharedItems containsSemiMixedTypes="0" containsString="0" containsNumber="1" containsInteger="1" minValue="0" maxValue="1"/>
    </cacheField>
    <cacheField name="aac(3)-IIe" numFmtId="0">
      <sharedItems containsSemiMixedTypes="0" containsString="0" containsNumber="1" containsInteger="1" minValue="0" maxValue="1"/>
    </cacheField>
    <cacheField name="aac(3)-Ia" numFmtId="0">
      <sharedItems containsSemiMixedTypes="0" containsString="0" containsNumber="1" containsInteger="1" minValue="0" maxValue="1"/>
    </cacheField>
    <cacheField name="aac(6')-Ian" numFmtId="0">
      <sharedItems containsSemiMixedTypes="0" containsString="0" containsNumber="1" containsInteger="1" minValue="0" maxValue="1"/>
    </cacheField>
    <cacheField name="aac(6')-Ib'" numFmtId="0">
      <sharedItems containsSemiMixedTypes="0" containsString="0" containsNumber="1" containsInteger="1" minValue="0" maxValue="1"/>
    </cacheField>
    <cacheField name="aac(6')-Ib3" numFmtId="0">
      <sharedItems containsSemiMixedTypes="0" containsString="0" containsNumber="1" containsInteger="1" minValue="0" maxValue="1"/>
    </cacheField>
    <cacheField name="aac(6')-Ib4" numFmtId="0">
      <sharedItems containsSemiMixedTypes="0" containsString="0" containsNumber="1" containsInteger="1" minValue="0" maxValue="1"/>
    </cacheField>
    <cacheField name="aacA16" numFmtId="0">
      <sharedItems containsSemiMixedTypes="0" containsString="0" containsNumber="1" containsInteger="1" minValue="0" maxValue="1"/>
    </cacheField>
    <cacheField name="aadA1" numFmtId="0">
      <sharedItems containsSemiMixedTypes="0" containsString="0" containsNumber="1" containsInteger="1" minValue="0" maxValue="1"/>
    </cacheField>
    <cacheField name="aadA2" numFmtId="0">
      <sharedItems containsSemiMixedTypes="0" containsString="0" containsNumber="1" containsInteger="1" minValue="0" maxValue="1"/>
    </cacheField>
    <cacheField name="ant(2'')-Ia" numFmtId="0">
      <sharedItems containsSemiMixedTypes="0" containsString="0" containsNumber="1" containsInteger="1" minValue="0" maxValue="1"/>
    </cacheField>
    <cacheField name="ant(3'')-IIa" numFmtId="0">
      <sharedItems containsSemiMixedTypes="0" containsString="0" containsNumber="1" containsInteger="1" minValue="0" maxValue="1"/>
    </cacheField>
    <cacheField name="aph(3'')-Ib" numFmtId="0">
      <sharedItems containsSemiMixedTypes="0" containsString="0" containsNumber="1" containsInteger="1" minValue="0" maxValue="1"/>
    </cacheField>
    <cacheField name="aph(3')-Ia" numFmtId="0">
      <sharedItems containsSemiMixedTypes="0" containsString="0" containsNumber="1" containsInteger="1" minValue="0" maxValue="1"/>
    </cacheField>
    <cacheField name="aph(3')-Ib" numFmtId="0">
      <sharedItems containsSemiMixedTypes="0" containsString="0" containsNumber="1" containsInteger="1" minValue="0" maxValue="1"/>
    </cacheField>
    <cacheField name="aph(3')-VI" numFmtId="0">
      <sharedItems containsSemiMixedTypes="0" containsString="0" containsNumber="1" containsInteger="1" minValue="0" maxValue="1"/>
    </cacheField>
    <cacheField name="aph(3')-VIa" numFmtId="0">
      <sharedItems containsSemiMixedTypes="0" containsString="0" containsNumber="1" containsInteger="1" minValue="0" maxValue="1"/>
    </cacheField>
    <cacheField name="aph(3')-VIb" numFmtId="0">
      <sharedItems containsSemiMixedTypes="0" containsString="0" containsNumber="1" containsInteger="1" minValue="0" maxValue="1"/>
    </cacheField>
    <cacheField name="aph(6)-Id" numFmtId="0">
      <sharedItems containsSemiMixedTypes="0" containsString="0" containsNumber="1" containsInteger="1" minValue="0" maxValue="1"/>
    </cacheField>
    <cacheField name="armA" numFmtId="0">
      <sharedItems containsSemiMixedTypes="0" containsString="0" containsNumber="1" containsInteger="1" minValue="0" maxValue="1"/>
    </cacheField>
    <cacheField name="arr-2" numFmtId="0">
      <sharedItems containsSemiMixedTypes="0" containsString="0" containsNumber="1" containsInteger="1" minValue="0" maxValue="1"/>
    </cacheField>
    <cacheField name="arr-3" numFmtId="0">
      <sharedItems containsSemiMixedTypes="0" containsString="0" containsNumber="1" containsInteger="1" minValue="0" maxValue="1"/>
    </cacheField>
    <cacheField name="blaADC" numFmtId="0">
      <sharedItems containsSemiMixedTypes="0" containsString="0" containsNumber="1" containsInteger="1" minValue="0" maxValue="1"/>
    </cacheField>
    <cacheField name="blaADC-105" numFmtId="0">
      <sharedItems containsSemiMixedTypes="0" containsString="0" containsNumber="1" containsInteger="1" minValue="0" maxValue="1"/>
    </cacheField>
    <cacheField name="blaADC-11" numFmtId="0">
      <sharedItems containsSemiMixedTypes="0" containsString="0" containsNumber="1" containsInteger="1" minValue="0" maxValue="1"/>
    </cacheField>
    <cacheField name="blaADC-117" numFmtId="0">
      <sharedItems containsSemiMixedTypes="0" containsString="0" containsNumber="1" containsInteger="1" minValue="0" maxValue="1"/>
    </cacheField>
    <cacheField name="blaADC-150" numFmtId="0">
      <sharedItems containsSemiMixedTypes="0" containsString="0" containsNumber="1" containsInteger="1" minValue="0" maxValue="1"/>
    </cacheField>
    <cacheField name="blaADC-154" numFmtId="0">
      <sharedItems containsSemiMixedTypes="0" containsString="0" containsNumber="1" containsInteger="1" minValue="0" maxValue="1"/>
    </cacheField>
    <cacheField name="blaADC-156" numFmtId="0">
      <sharedItems containsSemiMixedTypes="0" containsString="0" containsNumber="1" containsInteger="1" minValue="0" maxValue="1"/>
    </cacheField>
    <cacheField name="blaADC-158" numFmtId="0">
      <sharedItems containsSemiMixedTypes="0" containsString="0" containsNumber="1" containsInteger="1" minValue="0" maxValue="1"/>
    </cacheField>
    <cacheField name="blaADC-163" numFmtId="0">
      <sharedItems containsSemiMixedTypes="0" containsString="0" containsNumber="1" containsInteger="1" minValue="0" maxValue="1"/>
    </cacheField>
    <cacheField name="blaADC-165" numFmtId="0">
      <sharedItems containsSemiMixedTypes="0" containsString="0" containsNumber="1" containsInteger="1" minValue="0" maxValue="1"/>
    </cacheField>
    <cacheField name="blaADC-169" numFmtId="0">
      <sharedItems containsSemiMixedTypes="0" containsString="0" containsNumber="1" containsInteger="1" minValue="0" maxValue="1"/>
    </cacheField>
    <cacheField name="blaADC-176" numFmtId="0">
      <sharedItems containsSemiMixedTypes="0" containsString="0" containsNumber="1" containsInteger="1" minValue="0" maxValue="1"/>
    </cacheField>
    <cacheField name="blaADC-184" numFmtId="0">
      <sharedItems containsSemiMixedTypes="0" containsString="0" containsNumber="1" containsInteger="1" minValue="0" maxValue="1"/>
    </cacheField>
    <cacheField name="blaADC-191" numFmtId="0">
      <sharedItems containsSemiMixedTypes="0" containsString="0" containsNumber="1" containsInteger="1" minValue="0" maxValue="1"/>
    </cacheField>
    <cacheField name="blaADC-199" numFmtId="0">
      <sharedItems containsSemiMixedTypes="0" containsString="0" containsNumber="1" containsInteger="1" minValue="0" maxValue="1"/>
    </cacheField>
    <cacheField name="blaADC-203" numFmtId="0">
      <sharedItems containsSemiMixedTypes="0" containsString="0" containsNumber="1" containsInteger="1" minValue="0" maxValue="1"/>
    </cacheField>
    <cacheField name="blaADC-238" numFmtId="0">
      <sharedItems containsSemiMixedTypes="0" containsString="0" containsNumber="1" containsInteger="1" minValue="0" maxValue="1"/>
    </cacheField>
    <cacheField name="blaADC-248" numFmtId="0">
      <sharedItems containsSemiMixedTypes="0" containsString="0" containsNumber="1" containsInteger="1" minValue="0" maxValue="1"/>
    </cacheField>
    <cacheField name="blaADC-25" numFmtId="0">
      <sharedItems containsSemiMixedTypes="0" containsString="0" containsNumber="1" containsInteger="1" minValue="0" maxValue="1"/>
    </cacheField>
    <cacheField name="blaADC-26" numFmtId="0">
      <sharedItems containsSemiMixedTypes="0" containsString="0" containsNumber="1" containsInteger="1" minValue="0" maxValue="1"/>
    </cacheField>
    <cacheField name="blaADC-269" numFmtId="0">
      <sharedItems containsSemiMixedTypes="0" containsString="0" containsNumber="1" containsInteger="1" minValue="0" maxValue="1"/>
    </cacheField>
    <cacheField name="blaADC-277" numFmtId="0">
      <sharedItems containsSemiMixedTypes="0" containsString="0" containsNumber="1" containsInteger="1" minValue="0" maxValue="1"/>
    </cacheField>
    <cacheField name="blaADC-279" numFmtId="0">
      <sharedItems containsSemiMixedTypes="0" containsString="0" containsNumber="1" containsInteger="1" minValue="0" maxValue="1"/>
    </cacheField>
    <cacheField name="blaADC-291" numFmtId="0">
      <sharedItems containsSemiMixedTypes="0" containsString="0" containsNumber="1" containsInteger="1" minValue="0" maxValue="1"/>
    </cacheField>
    <cacheField name="blaADC-30" numFmtId="0">
      <sharedItems containsSemiMixedTypes="0" containsString="0" containsNumber="1" containsInteger="1" minValue="0" maxValue="1"/>
    </cacheField>
    <cacheField name="blaADC-308" numFmtId="0">
      <sharedItems containsSemiMixedTypes="0" containsString="0" containsNumber="1" containsInteger="1" minValue="0" maxValue="1"/>
    </cacheField>
    <cacheField name="blaADC-32" numFmtId="0">
      <sharedItems containsSemiMixedTypes="0" containsString="0" containsNumber="1" containsInteger="1" minValue="0" maxValue="1"/>
    </cacheField>
    <cacheField name="blaADC-339" numFmtId="0">
      <sharedItems containsSemiMixedTypes="0" containsString="0" containsNumber="1" containsInteger="1" minValue="0" maxValue="1"/>
    </cacheField>
    <cacheField name="blaADC-50" numFmtId="0">
      <sharedItems containsSemiMixedTypes="0" containsString="0" containsNumber="1" containsInteger="1" minValue="0" maxValue="1"/>
    </cacheField>
    <cacheField name="blaADC-52" numFmtId="0">
      <sharedItems containsSemiMixedTypes="0" containsString="0" containsNumber="1" containsInteger="1" minValue="0" maxValue="1"/>
    </cacheField>
    <cacheField name="blaADC-57" numFmtId="0">
      <sharedItems containsSemiMixedTypes="0" containsString="0" containsNumber="1" containsInteger="1" minValue="0" maxValue="1"/>
    </cacheField>
    <cacheField name="blaADC-6" numFmtId="0">
      <sharedItems containsSemiMixedTypes="0" containsString="0" containsNumber="1" containsInteger="1" minValue="0" maxValue="1"/>
    </cacheField>
    <cacheField name="blaADC-73" numFmtId="0">
      <sharedItems containsSemiMixedTypes="0" containsString="0" containsNumber="1" containsInteger="1" minValue="0" maxValue="1"/>
    </cacheField>
    <cacheField name="blaADC-76" numFmtId="0">
      <sharedItems containsSemiMixedTypes="0" containsString="0" containsNumber="1" containsInteger="1" minValue="0" maxValue="1"/>
    </cacheField>
    <cacheField name="blaADC-78" numFmtId="0">
      <sharedItems containsSemiMixedTypes="0" containsString="0" containsNumber="1" containsInteger="1" minValue="0" maxValue="1"/>
    </cacheField>
    <cacheField name="blaADC-79" numFmtId="0">
      <sharedItems containsSemiMixedTypes="0" containsString="0" containsNumber="1" containsInteger="1" minValue="0" maxValue="1"/>
    </cacheField>
    <cacheField name="blaADC-80" numFmtId="0">
      <sharedItems containsSemiMixedTypes="0" containsString="0" containsNumber="1" containsInteger="1" minValue="0" maxValue="1"/>
    </cacheField>
    <cacheField name="blaADC-82" numFmtId="0">
      <sharedItems containsSemiMixedTypes="0" containsString="0" containsNumber="1" containsInteger="1" minValue="0" maxValue="1"/>
    </cacheField>
    <cacheField name="blaADC-87" numFmtId="0">
      <sharedItems containsSemiMixedTypes="0" containsString="0" containsNumber="1" containsInteger="1" minValue="0" maxValue="1"/>
    </cacheField>
    <cacheField name="blaADC-88" numFmtId="0">
      <sharedItems containsSemiMixedTypes="0" containsString="0" containsNumber="1" containsInteger="1" minValue="0" maxValue="1"/>
    </cacheField>
    <cacheField name="blaADC-99" numFmtId="0">
      <sharedItems containsSemiMixedTypes="0" containsString="0" containsNumber="1" containsInteger="1" minValue="0" maxValue="1"/>
    </cacheField>
    <cacheField name="blaCARB-16" numFmtId="0">
      <sharedItems containsSemiMixedTypes="0" containsString="0" containsNumber="1" containsInteger="1" minValue="0" maxValue="1"/>
    </cacheField>
    <cacheField name="blaCARB-2" numFmtId="0">
      <sharedItems containsSemiMixedTypes="0" containsString="0" containsNumber="1" containsInteger="1" minValue="0" maxValue="1"/>
    </cacheField>
    <cacheField name="blaCARB-50" numFmtId="0">
      <sharedItems containsSemiMixedTypes="0" containsString="0" containsNumber="1" containsInteger="1" minValue="0" maxValue="1"/>
    </cacheField>
    <cacheField name="blaGES-11" numFmtId="0">
      <sharedItems containsSemiMixedTypes="0" containsString="0" containsNumber="1" containsInteger="1" minValue="0" maxValue="1"/>
    </cacheField>
    <cacheField name="blaGES-35" numFmtId="0">
      <sharedItems containsSemiMixedTypes="0" containsString="0" containsNumber="1" containsInteger="1" minValue="0" maxValue="1"/>
    </cacheField>
    <cacheField name="blaI" numFmtId="0">
      <sharedItems containsSemiMixedTypes="0" containsString="0" containsNumber="1" containsInteger="1" minValue="0" maxValue="1"/>
    </cacheField>
    <cacheField name="blaMCA" numFmtId="0">
      <sharedItems containsSemiMixedTypes="0" containsString="0" containsNumber="1" containsInteger="1" minValue="0" maxValue="1"/>
    </cacheField>
    <cacheField name="blaNDM-1" numFmtId="0">
      <sharedItems containsSemiMixedTypes="0" containsString="0" containsNumber="1" containsInteger="1" minValue="0" maxValue="1"/>
    </cacheField>
    <cacheField name="blaOXA" numFmtId="0">
      <sharedItems containsSemiMixedTypes="0" containsString="0" containsNumber="1" containsInteger="1" minValue="0" maxValue="1"/>
    </cacheField>
    <cacheField name="blaOXA-100" numFmtId="0">
      <sharedItems containsSemiMixedTypes="0" containsString="0" containsNumber="1" containsInteger="1" minValue="0" maxValue="1"/>
    </cacheField>
    <cacheField name="blaOXA-104" numFmtId="0">
      <sharedItems containsSemiMixedTypes="0" containsString="0" containsNumber="1" containsInteger="1" minValue="0" maxValue="1"/>
    </cacheField>
    <cacheField name="blaOXA-1076" numFmtId="0">
      <sharedItems containsSemiMixedTypes="0" containsString="0" containsNumber="1" containsInteger="1" minValue="0" maxValue="1"/>
    </cacheField>
    <cacheField name="blaOXA-120" numFmtId="0">
      <sharedItems containsSemiMixedTypes="0" containsString="0" containsNumber="1" containsInteger="1" minValue="0" maxValue="1"/>
    </cacheField>
    <cacheField name="blaOXA-121" numFmtId="0">
      <sharedItems containsSemiMixedTypes="0" containsString="0" containsNumber="1" containsInteger="1" minValue="0" maxValue="1"/>
    </cacheField>
    <cacheField name="blaOXA-144" numFmtId="0">
      <sharedItems containsSemiMixedTypes="0" containsString="0" containsNumber="1" containsInteger="1" minValue="0" maxValue="1"/>
    </cacheField>
    <cacheField name="blaOXA-180" numFmtId="0">
      <sharedItems containsSemiMixedTypes="0" containsString="0" containsNumber="1" containsInteger="1" minValue="0" maxValue="1"/>
    </cacheField>
    <cacheField name="blaOXA-208" numFmtId="0">
      <sharedItems containsSemiMixedTypes="0" containsString="0" containsNumber="1" containsInteger="1" minValue="0" maxValue="1"/>
    </cacheField>
    <cacheField name="blaOXA-217" numFmtId="0">
      <sharedItems containsSemiMixedTypes="0" containsString="0" containsNumber="1" containsInteger="1" minValue="0" maxValue="1"/>
    </cacheField>
    <cacheField name="blaOXA-23" numFmtId="0">
      <sharedItems containsSemiMixedTypes="0" containsString="0" containsNumber="1" containsInteger="1" minValue="0" maxValue="1"/>
    </cacheField>
    <cacheField name="blaOXA-314" numFmtId="0">
      <sharedItems containsSemiMixedTypes="0" containsString="0" containsNumber="1" containsInteger="1" minValue="0" maxValue="1"/>
    </cacheField>
    <cacheField name="blaOXA-337" numFmtId="0">
      <sharedItems containsSemiMixedTypes="0" containsString="0" containsNumber="1" containsInteger="1" minValue="0" maxValue="1"/>
    </cacheField>
    <cacheField name="blaOXA-378" numFmtId="0">
      <sharedItems containsSemiMixedTypes="0" containsString="0" containsNumber="1" containsInteger="1" minValue="0" maxValue="1"/>
    </cacheField>
    <cacheField name="blaOXA-402" numFmtId="0">
      <sharedItems containsSemiMixedTypes="0" containsString="0" containsNumber="1" containsInteger="1" minValue="0" maxValue="1"/>
    </cacheField>
    <cacheField name="blaOXA-411" numFmtId="0">
      <sharedItems containsSemiMixedTypes="0" containsString="0" containsNumber="1" containsInteger="1" minValue="0" maxValue="1"/>
    </cacheField>
    <cacheField name="blaOXA-420" numFmtId="0">
      <sharedItems containsSemiMixedTypes="0" containsString="0" containsNumber="1" containsInteger="1" minValue="0" maxValue="1"/>
    </cacheField>
    <cacheField name="blaOXA-441" numFmtId="0">
      <sharedItems containsSemiMixedTypes="0" containsString="0" containsNumber="1" containsInteger="1" minValue="0" maxValue="1"/>
    </cacheField>
    <cacheField name="blaOXA-51" numFmtId="0">
      <sharedItems containsSemiMixedTypes="0" containsString="0" containsNumber="1" containsInteger="1" minValue="0" maxValue="1"/>
    </cacheField>
    <cacheField name="blaOXA-58" numFmtId="0">
      <sharedItems containsSemiMixedTypes="0" containsString="0" containsNumber="1" containsInteger="1" minValue="0" maxValue="1"/>
    </cacheField>
    <cacheField name="blaOXA-64" numFmtId="0">
      <sharedItems containsSemiMixedTypes="0" containsString="0" containsNumber="1" containsInteger="1" minValue="0" maxValue="1"/>
    </cacheField>
    <cacheField name="blaOXA-65" numFmtId="0">
      <sharedItems containsSemiMixedTypes="0" containsString="0" containsNumber="1" containsInteger="1" minValue="0" maxValue="1"/>
    </cacheField>
    <cacheField name="blaOXA-66" numFmtId="0">
      <sharedItems containsSemiMixedTypes="0" containsString="0" containsNumber="1" containsInteger="1" minValue="0" maxValue="1"/>
    </cacheField>
    <cacheField name="blaOXA-67" numFmtId="0">
      <sharedItems containsSemiMixedTypes="0" containsString="0" containsNumber="1" containsInteger="1" minValue="0" maxValue="1"/>
    </cacheField>
    <cacheField name="blaOXA-68" numFmtId="0">
      <sharedItems containsSemiMixedTypes="0" containsString="0" containsNumber="1" containsInteger="1" minValue="0" maxValue="1"/>
    </cacheField>
    <cacheField name="blaOXA-69" numFmtId="0">
      <sharedItems containsSemiMixedTypes="0" containsString="0" containsNumber="1" containsInteger="1" minValue="0" maxValue="1"/>
    </cacheField>
    <cacheField name="blaOXA-70" numFmtId="0">
      <sharedItems containsSemiMixedTypes="0" containsString="0" containsNumber="1" containsInteger="1" minValue="0" maxValue="1"/>
    </cacheField>
    <cacheField name="blaOXA-71" numFmtId="0">
      <sharedItems containsSemiMixedTypes="0" containsString="0" containsNumber="1" containsInteger="1" minValue="0" maxValue="1"/>
    </cacheField>
    <cacheField name="blaOXA-735" numFmtId="0">
      <sharedItems containsSemiMixedTypes="0" containsString="0" containsNumber="1" containsInteger="1" minValue="0" maxValue="1"/>
    </cacheField>
    <cacheField name="blaOXA-78" numFmtId="0">
      <sharedItems containsSemiMixedTypes="0" containsString="0" containsNumber="1" containsInteger="1" minValue="0" maxValue="1"/>
    </cacheField>
    <cacheField name="blaOXA-856" numFmtId="0">
      <sharedItems containsSemiMixedTypes="0" containsString="0" containsNumber="1" containsInteger="1" minValue="0" maxValue="1"/>
    </cacheField>
    <cacheField name="blaOXA-90" numFmtId="0">
      <sharedItems containsSemiMixedTypes="0" containsString="0" containsNumber="1" containsInteger="1" minValue="0" maxValue="1"/>
    </cacheField>
    <cacheField name="blaOXA-91" numFmtId="0">
      <sharedItems containsSemiMixedTypes="0" containsString="0" containsNumber="1" containsInteger="1" minValue="0" maxValue="1"/>
    </cacheField>
    <cacheField name="blaOXA-94" numFmtId="0">
      <sharedItems containsSemiMixedTypes="0" containsString="0" containsNumber="1" containsInteger="1" minValue="0" maxValue="1"/>
    </cacheField>
    <cacheField name="blaOXA-98" numFmtId="0">
      <sharedItems containsSemiMixedTypes="0" containsString="0" containsNumber="1" containsInteger="1" minValue="0" maxValue="1"/>
    </cacheField>
    <cacheField name="blaPER-1" numFmtId="0">
      <sharedItems containsSemiMixedTypes="0" containsString="0" containsNumber="1" containsInteger="1" minValue="0" maxValue="1"/>
    </cacheField>
    <cacheField name="blaPER-7" numFmtId="0">
      <sharedItems containsSemiMixedTypes="0" containsString="0" containsNumber="1" containsInteger="1" minValue="0" maxValue="1"/>
    </cacheField>
    <cacheField name="blaR1" numFmtId="0">
      <sharedItems containsSemiMixedTypes="0" containsString="0" containsNumber="1" containsInteger="1" minValue="0" maxValue="1"/>
    </cacheField>
    <cacheField name="blaRTG" numFmtId="0">
      <sharedItems containsSemiMixedTypes="0" containsString="0" containsNumber="1" containsInteger="1" minValue="0" maxValue="1"/>
    </cacheField>
    <cacheField name="blaTEM-1" numFmtId="0">
      <sharedItems containsSemiMixedTypes="0" containsString="0" containsNumber="1" containsInteger="1" minValue="0" maxValue="1"/>
    </cacheField>
    <cacheField name="blaZ" numFmtId="0">
      <sharedItems containsSemiMixedTypes="0" containsString="0" containsNumber="1" containsInteger="1" minValue="0" maxValue="1"/>
    </cacheField>
    <cacheField name="ble" numFmtId="0">
      <sharedItems containsSemiMixedTypes="0" containsString="0" containsNumber="1" containsInteger="1" minValue="0" maxValue="1"/>
    </cacheField>
    <cacheField name="catA1" numFmtId="0">
      <sharedItems containsSemiMixedTypes="0" containsString="0" containsNumber="1" containsInteger="1" minValue="0" maxValue="1"/>
    </cacheField>
    <cacheField name="catB8" numFmtId="0">
      <sharedItems containsSemiMixedTypes="0" containsString="0" containsNumber="1" containsInteger="1" minValue="0" maxValue="1"/>
    </cacheField>
    <cacheField name="cmlA1" numFmtId="0">
      <sharedItems containsSemiMixedTypes="0" containsString="0" containsNumber="1" containsInteger="1" minValue="0" maxValue="1"/>
    </cacheField>
    <cacheField name="cmlA5" numFmtId="0">
      <sharedItems containsSemiMixedTypes="0" containsString="0" containsNumber="1" containsInteger="1" minValue="0" maxValue="1"/>
    </cacheField>
    <cacheField name="dfrA1" numFmtId="0">
      <sharedItems containsSemiMixedTypes="0" containsString="0" containsNumber="1" containsInteger="1" minValue="0" maxValue="1"/>
    </cacheField>
    <cacheField name="dfrA20" numFmtId="0">
      <sharedItems containsSemiMixedTypes="0" containsString="0" containsNumber="1" containsInteger="1" minValue="0" maxValue="1"/>
    </cacheField>
    <cacheField name="dfrA40" numFmtId="0">
      <sharedItems containsSemiMixedTypes="0" containsString="0" containsNumber="1" containsInteger="1" minValue="0" maxValue="1"/>
    </cacheField>
    <cacheField name="dfrA44" numFmtId="0">
      <sharedItems containsSemiMixedTypes="0" containsString="0" containsNumber="1" containsInteger="1" minValue="0" maxValue="1"/>
    </cacheField>
    <cacheField name="dfrA45" numFmtId="0">
      <sharedItems containsSemiMixedTypes="0" containsString="0" containsNumber="1" containsInteger="1" minValue="0" maxValue="1"/>
    </cacheField>
    <cacheField name="dfrA7" numFmtId="0">
      <sharedItems containsSemiMixedTypes="0" containsString="0" containsNumber="1" containsInteger="1" minValue="0" maxValue="1"/>
    </cacheField>
    <cacheField name="dfrS1" numFmtId="0">
      <sharedItems containsSemiMixedTypes="0" containsString="0" containsNumber="1" containsInteger="1" minValue="0" maxValue="1"/>
    </cacheField>
    <cacheField name="floR" numFmtId="0">
      <sharedItems containsSemiMixedTypes="0" containsString="0" containsNumber="1" containsInteger="1" minValue="0" maxValue="1"/>
    </cacheField>
    <cacheField name="fos" numFmtId="0">
      <sharedItems containsSemiMixedTypes="0" containsString="0" containsNumber="1" containsInteger="1" minValue="0" maxValue="1"/>
    </cacheField>
    <cacheField name="fosB" numFmtId="0">
      <sharedItems containsSemiMixedTypes="0" containsString="0" containsNumber="1" containsInteger="1" minValue="0" maxValue="1"/>
    </cacheField>
    <cacheField name="lnu(A)" numFmtId="0">
      <sharedItems containsSemiMixedTypes="0" containsString="0" containsNumber="1" containsInteger="1" minValue="0" maxValue="1"/>
    </cacheField>
    <cacheField name="mph(E)" numFmtId="0">
      <sharedItems containsSemiMixedTypes="0" containsString="0" containsNumber="1" containsInteger="1" minValue="0" maxValue="1"/>
    </cacheField>
    <cacheField name="msr(E)" numFmtId="0">
      <sharedItems containsSemiMixedTypes="0" containsString="0" containsNumber="1" containsInteger="1" minValue="0" maxValue="1"/>
    </cacheField>
    <cacheField name="qacE" numFmtId="0">
      <sharedItems containsSemiMixedTypes="0" containsString="0" containsNumber="1" containsInteger="1" minValue="0" maxValue="1"/>
    </cacheField>
    <cacheField name="qacEdelta1" numFmtId="0">
      <sharedItems containsSemiMixedTypes="0" containsString="0" containsNumber="1" containsInteger="1" minValue="0" maxValue="1"/>
    </cacheField>
    <cacheField name="sat2" numFmtId="0">
      <sharedItems containsSemiMixedTypes="0" containsString="0" containsNumber="1" containsInteger="1" minValue="0" maxValue="1"/>
    </cacheField>
    <cacheField name="sul1" numFmtId="0">
      <sharedItems containsSemiMixedTypes="0" containsString="0" containsNumber="1" containsInteger="1" minValue="0" maxValue="1"/>
    </cacheField>
    <cacheField name="sul2" numFmtId="0">
      <sharedItems containsSemiMixedTypes="0" containsString="0" containsNumber="1" containsInteger="1" minValue="0" maxValue="1"/>
    </cacheField>
    <cacheField name="tet(39)" numFmtId="0">
      <sharedItems containsSemiMixedTypes="0" containsString="0" containsNumber="1" containsInteger="1" minValue="0" maxValue="1"/>
    </cacheField>
    <cacheField name="tet(A)" numFmtId="0">
      <sharedItems containsSemiMixedTypes="0" containsString="0" containsNumber="1" containsInteger="1" minValue="0" maxValue="1"/>
    </cacheField>
    <cacheField name="tet(B)" numFmtId="0">
      <sharedItems containsSemiMixedTypes="0" containsString="0" containsNumber="1" containsInteger="1" minValue="0" maxValue="1"/>
    </cacheField>
    <cacheField name="tet(G)" numFmtId="0">
      <sharedItems containsSemiMixedTypes="0" containsString="0" containsNumber="1" containsInteger="1" minValue="0" maxValue="1"/>
    </cacheField>
    <cacheField name="tet(X3)" numFmtId="0">
      <sharedItems containsSemiMixedTypes="0" containsString="0" containsNumber="1" containsInteger="1" minValue="0" maxValue="1"/>
    </cacheField>
    <cacheField name="ST" numFmtId="0">
      <sharedItems containsMixedTypes="1" containsNumber="1" containsInteger="1" minValue="1" maxValue="2227" count="59">
        <n v="2"/>
        <n v="1"/>
        <s v="-"/>
        <n v="103"/>
        <n v="409"/>
        <n v="2214"/>
        <n v="126"/>
        <n v="164"/>
        <n v="1828"/>
        <n v="2215"/>
        <n v="821"/>
        <n v="1464"/>
        <n v="973"/>
        <n v="32"/>
        <n v="221"/>
        <n v="2227"/>
        <n v="622"/>
        <n v="78"/>
        <n v="516"/>
        <n v="1463"/>
        <n v="149"/>
        <n v="10"/>
        <n v="2177"/>
        <n v="2029"/>
        <n v="2199"/>
        <n v="203"/>
        <n v="1093"/>
        <n v="85"/>
        <n v="267"/>
        <n v="25"/>
        <n v="575"/>
        <n v="52"/>
        <n v="602"/>
        <n v="136"/>
        <n v="158"/>
        <n v="1866"/>
        <n v="16"/>
        <n v="1910"/>
        <n v="338"/>
        <n v="1904"/>
        <n v="107"/>
        <n v="471"/>
        <n v="1905"/>
        <n v="1470"/>
        <n v="1909"/>
        <n v="1906"/>
        <n v="1136"/>
        <n v="109"/>
        <n v="132"/>
        <n v="388"/>
        <n v="243"/>
        <n v="113"/>
        <n v="570"/>
        <n v="19"/>
        <n v="54"/>
        <n v="152"/>
        <n v="193"/>
        <n v="976"/>
        <n v="1438"/>
      </sharedItems>
    </cacheField>
    <cacheField name="ant(3'')-IIa_Pct" numFmtId="0" formula="'ant(3'''')-IIa'/'Run Accession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nel Ezeigwe" refreshedDate="45970.1879505787" createdVersion="8" refreshedVersion="8" minRefreshableVersion="3" recordCount="372" xr:uid="{CFF638E3-1F94-464C-99BE-DC41790642C6}">
  <cacheSource type="worksheet">
    <worksheetSource ref="A1:FJ373" sheet="Sheet4"/>
  </cacheSource>
  <cacheFields count="166">
    <cacheField name="Run Accessions" numFmtId="0">
      <sharedItems/>
    </cacheField>
    <cacheField name="Sample Accessions" numFmtId="0">
      <sharedItems/>
    </cacheField>
    <cacheField name="Date (Month)" numFmtId="0">
      <sharedItems containsBlank="1"/>
    </cacheField>
    <cacheField name="Date (Year)" numFmtId="0">
      <sharedItems containsString="0" containsBlank="1" containsNumber="1" containsInteger="1" minValue="1999" maxValue="2022" count="13">
        <n v="2021"/>
        <n v="2022"/>
        <n v="2017"/>
        <m/>
        <n v="2016"/>
        <n v="2019"/>
        <n v="2012"/>
        <n v="2014"/>
        <n v="2018"/>
        <n v="2020"/>
        <n v="1999"/>
        <n v="2007"/>
        <n v="2015"/>
      </sharedItems>
    </cacheField>
    <cacheField name="Study Accessions" numFmtId="0">
      <sharedItems/>
    </cacheField>
    <cacheField name="latitude" numFmtId="0">
      <sharedItems containsSemiMixedTypes="0" containsString="0" containsNumber="1" minValue="-33.913809999999998" maxValue="33.886916999999997"/>
    </cacheField>
    <cacheField name="longitude" numFmtId="0">
      <sharedItems containsSemiMixedTypes="0" containsString="0" containsNumber="1" minValue="-6" maxValue="105.83"/>
    </cacheField>
    <cacheField name="Organism Name" numFmtId="0">
      <sharedItems/>
    </cacheField>
    <cacheField name="Organism ID" numFmtId="0">
      <sharedItems containsSemiMixedTypes="0" containsString="0" containsNumber="1" containsInteger="1" minValue="470" maxValue="470"/>
    </cacheField>
    <cacheField name="Species Name" numFmtId="0">
      <sharedItems/>
    </cacheField>
    <cacheField name="Species ID" numFmtId="0">
      <sharedItems containsSemiMixedTypes="0" containsString="0" containsNumber="1" containsInteger="1" minValue="470" maxValue="470"/>
    </cacheField>
    <cacheField name="Genus Name" numFmtId="0">
      <sharedItems/>
    </cacheField>
    <cacheField name="Genus ID" numFmtId="0">
      <sharedItems containsSemiMixedTypes="0" containsString="0" containsNumber="1" containsInteger="1" minValue="469" maxValue="469"/>
    </cacheField>
    <cacheField name="Reference Library" numFmtId="0">
      <sharedItems/>
    </cacheField>
    <cacheField name="Reference ID" numFmtId="0">
      <sharedItems/>
    </cacheField>
    <cacheField name="Matching Hashes" numFmtId="0">
      <sharedItems/>
    </cacheField>
    <cacheField name="p-Value" numFmtId="0">
      <sharedItems containsSemiMixedTypes="0" containsString="0" containsNumber="1" containsInteger="1" minValue="0" maxValue="0"/>
    </cacheField>
    <cacheField name="Mash Distance" numFmtId="0">
      <sharedItems containsMixedTypes="1" containsNumber="1" minValue="0" maxValue="2.20623E-2"/>
    </cacheField>
    <cacheField name="Isolation source" numFmtId="0">
      <sharedItems containsBlank="1"/>
    </cacheField>
    <cacheField name="Host" numFmtId="0">
      <sharedItems containsBlank="1"/>
    </cacheField>
    <cacheField name="Host Disease" numFmtId="0">
      <sharedItems containsBlank="1"/>
    </cacheField>
    <cacheField name="Study Title" numFmtId="0">
      <sharedItems/>
    </cacheField>
    <cacheField name="CENTER NAME" numFmtId="0">
      <sharedItems/>
    </cacheField>
    <cacheField name="City/region" numFmtId="0">
      <sharedItems containsBlank="1"/>
    </cacheField>
    <cacheField name="Country" numFmtId="0">
      <sharedItems containsBlank="1"/>
    </cacheField>
    <cacheField name="aac(3)-IId" numFmtId="0">
      <sharedItems containsSemiMixedTypes="0" containsString="0" containsNumber="1" containsInteger="1" minValue="0" maxValue="1"/>
    </cacheField>
    <cacheField name="aac(3)-IIe" numFmtId="0">
      <sharedItems containsSemiMixedTypes="0" containsString="0" containsNumber="1" containsInteger="1" minValue="0" maxValue="1"/>
    </cacheField>
    <cacheField name="aac(3)-Ia" numFmtId="0">
      <sharedItems containsSemiMixedTypes="0" containsString="0" containsNumber="1" containsInteger="1" minValue="0" maxValue="1"/>
    </cacheField>
    <cacheField name="aac(6')-Ian" numFmtId="0">
      <sharedItems containsSemiMixedTypes="0" containsString="0" containsNumber="1" containsInteger="1" minValue="0" maxValue="1"/>
    </cacheField>
    <cacheField name="aac(6')-Ib'" numFmtId="0">
      <sharedItems containsSemiMixedTypes="0" containsString="0" containsNumber="1" containsInteger="1" minValue="0" maxValue="1"/>
    </cacheField>
    <cacheField name="aac(6')-Ib3" numFmtId="0">
      <sharedItems containsSemiMixedTypes="0" containsString="0" containsNumber="1" containsInteger="1" minValue="0" maxValue="1"/>
    </cacheField>
    <cacheField name="aac(6')-Ib4" numFmtId="0">
      <sharedItems containsSemiMixedTypes="0" containsString="0" containsNumber="1" containsInteger="1" minValue="0" maxValue="1"/>
    </cacheField>
    <cacheField name="aacA16" numFmtId="0">
      <sharedItems containsSemiMixedTypes="0" containsString="0" containsNumber="1" containsInteger="1" minValue="0" maxValue="1"/>
    </cacheField>
    <cacheField name="aadA1" numFmtId="0">
      <sharedItems containsSemiMixedTypes="0" containsString="0" containsNumber="1" containsInteger="1" minValue="0" maxValue="1"/>
    </cacheField>
    <cacheField name="aadA2" numFmtId="0">
      <sharedItems containsSemiMixedTypes="0" containsString="0" containsNumber="1" containsInteger="1" minValue="0" maxValue="1"/>
    </cacheField>
    <cacheField name="ant(2'')-Ia" numFmtId="0">
      <sharedItems containsSemiMixedTypes="0" containsString="0" containsNumber="1" containsInteger="1" minValue="0" maxValue="1"/>
    </cacheField>
    <cacheField name="ant(3'')-IIa" numFmtId="0">
      <sharedItems containsSemiMixedTypes="0" containsString="0" containsNumber="1" containsInteger="1" minValue="0" maxValue="1"/>
    </cacheField>
    <cacheField name="aph(3'')-Ib" numFmtId="0">
      <sharedItems containsSemiMixedTypes="0" containsString="0" containsNumber="1" containsInteger="1" minValue="0" maxValue="1"/>
    </cacheField>
    <cacheField name="aph(3')-Ia" numFmtId="0">
      <sharedItems containsSemiMixedTypes="0" containsString="0" containsNumber="1" containsInteger="1" minValue="0" maxValue="1"/>
    </cacheField>
    <cacheField name="aph(3')-Ib" numFmtId="0">
      <sharedItems containsSemiMixedTypes="0" containsString="0" containsNumber="1" containsInteger="1" minValue="0" maxValue="1"/>
    </cacheField>
    <cacheField name="aph(3')-VI" numFmtId="0">
      <sharedItems containsSemiMixedTypes="0" containsString="0" containsNumber="1" containsInteger="1" minValue="0" maxValue="1"/>
    </cacheField>
    <cacheField name="aph(3')-VIa" numFmtId="0">
      <sharedItems containsSemiMixedTypes="0" containsString="0" containsNumber="1" containsInteger="1" minValue="0" maxValue="1"/>
    </cacheField>
    <cacheField name="aph(3')-VIb" numFmtId="0">
      <sharedItems containsSemiMixedTypes="0" containsString="0" containsNumber="1" containsInteger="1" minValue="0" maxValue="1"/>
    </cacheField>
    <cacheField name="aph(6)-Id" numFmtId="0">
      <sharedItems containsSemiMixedTypes="0" containsString="0" containsNumber="1" containsInteger="1" minValue="0" maxValue="1"/>
    </cacheField>
    <cacheField name="armA" numFmtId="0">
      <sharedItems containsSemiMixedTypes="0" containsString="0" containsNumber="1" containsInteger="1" minValue="0" maxValue="1"/>
    </cacheField>
    <cacheField name="arr-2" numFmtId="0">
      <sharedItems containsSemiMixedTypes="0" containsString="0" containsNumber="1" containsInteger="1" minValue="0" maxValue="1"/>
    </cacheField>
    <cacheField name="arr-3" numFmtId="0">
      <sharedItems containsSemiMixedTypes="0" containsString="0" containsNumber="1" containsInteger="1" minValue="0" maxValue="1"/>
    </cacheField>
    <cacheField name="blaADC" numFmtId="0">
      <sharedItems containsSemiMixedTypes="0" containsString="0" containsNumber="1" containsInteger="1" minValue="0" maxValue="1"/>
    </cacheField>
    <cacheField name="blaADC-105" numFmtId="0">
      <sharedItems containsSemiMixedTypes="0" containsString="0" containsNumber="1" containsInteger="1" minValue="0" maxValue="1"/>
    </cacheField>
    <cacheField name="blaADC-11" numFmtId="0">
      <sharedItems containsSemiMixedTypes="0" containsString="0" containsNumber="1" containsInteger="1" minValue="0" maxValue="1"/>
    </cacheField>
    <cacheField name="blaADC-117" numFmtId="0">
      <sharedItems containsSemiMixedTypes="0" containsString="0" containsNumber="1" containsInteger="1" minValue="0" maxValue="1"/>
    </cacheField>
    <cacheField name="blaADC-150" numFmtId="0">
      <sharedItems containsSemiMixedTypes="0" containsString="0" containsNumber="1" containsInteger="1" minValue="0" maxValue="1"/>
    </cacheField>
    <cacheField name="blaADC-154" numFmtId="0">
      <sharedItems containsSemiMixedTypes="0" containsString="0" containsNumber="1" containsInteger="1" minValue="0" maxValue="1"/>
    </cacheField>
    <cacheField name="blaADC-156" numFmtId="0">
      <sharedItems containsSemiMixedTypes="0" containsString="0" containsNumber="1" containsInteger="1" minValue="0" maxValue="1"/>
    </cacheField>
    <cacheField name="blaADC-158" numFmtId="0">
      <sharedItems containsSemiMixedTypes="0" containsString="0" containsNumber="1" containsInteger="1" minValue="0" maxValue="1"/>
    </cacheField>
    <cacheField name="blaADC-163" numFmtId="0">
      <sharedItems containsSemiMixedTypes="0" containsString="0" containsNumber="1" containsInteger="1" minValue="0" maxValue="1"/>
    </cacheField>
    <cacheField name="blaADC-165" numFmtId="0">
      <sharedItems containsSemiMixedTypes="0" containsString="0" containsNumber="1" containsInteger="1" minValue="0" maxValue="1"/>
    </cacheField>
    <cacheField name="blaADC-169" numFmtId="0">
      <sharedItems containsSemiMixedTypes="0" containsString="0" containsNumber="1" containsInteger="1" minValue="0" maxValue="1"/>
    </cacheField>
    <cacheField name="blaADC-176" numFmtId="0">
      <sharedItems containsSemiMixedTypes="0" containsString="0" containsNumber="1" containsInteger="1" minValue="0" maxValue="1"/>
    </cacheField>
    <cacheField name="blaADC-184" numFmtId="0">
      <sharedItems containsSemiMixedTypes="0" containsString="0" containsNumber="1" containsInteger="1" minValue="0" maxValue="1"/>
    </cacheField>
    <cacheField name="blaADC-191" numFmtId="0">
      <sharedItems containsSemiMixedTypes="0" containsString="0" containsNumber="1" containsInteger="1" minValue="0" maxValue="1"/>
    </cacheField>
    <cacheField name="blaADC-199" numFmtId="0">
      <sharedItems containsSemiMixedTypes="0" containsString="0" containsNumber="1" containsInteger="1" minValue="0" maxValue="1"/>
    </cacheField>
    <cacheField name="blaADC-203" numFmtId="0">
      <sharedItems containsSemiMixedTypes="0" containsString="0" containsNumber="1" containsInteger="1" minValue="0" maxValue="1"/>
    </cacheField>
    <cacheField name="blaADC-238" numFmtId="0">
      <sharedItems containsSemiMixedTypes="0" containsString="0" containsNumber="1" containsInteger="1" minValue="0" maxValue="1"/>
    </cacheField>
    <cacheField name="blaADC-248" numFmtId="0">
      <sharedItems containsSemiMixedTypes="0" containsString="0" containsNumber="1" containsInteger="1" minValue="0" maxValue="1"/>
    </cacheField>
    <cacheField name="blaADC-25" numFmtId="0">
      <sharedItems containsSemiMixedTypes="0" containsString="0" containsNumber="1" containsInteger="1" minValue="0" maxValue="1"/>
    </cacheField>
    <cacheField name="blaADC-26" numFmtId="0">
      <sharedItems containsSemiMixedTypes="0" containsString="0" containsNumber="1" containsInteger="1" minValue="0" maxValue="1"/>
    </cacheField>
    <cacheField name="blaADC-269" numFmtId="0">
      <sharedItems containsSemiMixedTypes="0" containsString="0" containsNumber="1" containsInteger="1" minValue="0" maxValue="1"/>
    </cacheField>
    <cacheField name="blaADC-277" numFmtId="0">
      <sharedItems containsSemiMixedTypes="0" containsString="0" containsNumber="1" containsInteger="1" minValue="0" maxValue="1"/>
    </cacheField>
    <cacheField name="blaADC-279" numFmtId="0">
      <sharedItems containsSemiMixedTypes="0" containsString="0" containsNumber="1" containsInteger="1" minValue="0" maxValue="1"/>
    </cacheField>
    <cacheField name="blaADC-291" numFmtId="0">
      <sharedItems containsSemiMixedTypes="0" containsString="0" containsNumber="1" containsInteger="1" minValue="0" maxValue="1"/>
    </cacheField>
    <cacheField name="blaADC-30" numFmtId="0">
      <sharedItems containsSemiMixedTypes="0" containsString="0" containsNumber="1" containsInteger="1" minValue="0" maxValue="1"/>
    </cacheField>
    <cacheField name="blaADC-308" numFmtId="0">
      <sharedItems containsSemiMixedTypes="0" containsString="0" containsNumber="1" containsInteger="1" minValue="0" maxValue="1"/>
    </cacheField>
    <cacheField name="blaADC-32" numFmtId="0">
      <sharedItems containsSemiMixedTypes="0" containsString="0" containsNumber="1" containsInteger="1" minValue="0" maxValue="1"/>
    </cacheField>
    <cacheField name="blaADC-339" numFmtId="0">
      <sharedItems containsSemiMixedTypes="0" containsString="0" containsNumber="1" containsInteger="1" minValue="0" maxValue="1"/>
    </cacheField>
    <cacheField name="blaADC-50" numFmtId="0">
      <sharedItems containsSemiMixedTypes="0" containsString="0" containsNumber="1" containsInteger="1" minValue="0" maxValue="1"/>
    </cacheField>
    <cacheField name="blaADC-52" numFmtId="0">
      <sharedItems containsSemiMixedTypes="0" containsString="0" containsNumber="1" containsInteger="1" minValue="0" maxValue="1"/>
    </cacheField>
    <cacheField name="blaADC-57" numFmtId="0">
      <sharedItems containsSemiMixedTypes="0" containsString="0" containsNumber="1" containsInteger="1" minValue="0" maxValue="1"/>
    </cacheField>
    <cacheField name="blaADC-6" numFmtId="0">
      <sharedItems containsSemiMixedTypes="0" containsString="0" containsNumber="1" containsInteger="1" minValue="0" maxValue="1"/>
    </cacheField>
    <cacheField name="blaADC-73" numFmtId="0">
      <sharedItems containsSemiMixedTypes="0" containsString="0" containsNumber="1" containsInteger="1" minValue="0" maxValue="1"/>
    </cacheField>
    <cacheField name="blaADC-76" numFmtId="0">
      <sharedItems containsSemiMixedTypes="0" containsString="0" containsNumber="1" containsInteger="1" minValue="0" maxValue="1"/>
    </cacheField>
    <cacheField name="blaADC-78" numFmtId="0">
      <sharedItems containsSemiMixedTypes="0" containsString="0" containsNumber="1" containsInteger="1" minValue="0" maxValue="1"/>
    </cacheField>
    <cacheField name="blaADC-79" numFmtId="0">
      <sharedItems containsSemiMixedTypes="0" containsString="0" containsNumber="1" containsInteger="1" minValue="0" maxValue="1"/>
    </cacheField>
    <cacheField name="blaADC-80" numFmtId="0">
      <sharedItems containsSemiMixedTypes="0" containsString="0" containsNumber="1" containsInteger="1" minValue="0" maxValue="1"/>
    </cacheField>
    <cacheField name="blaADC-82" numFmtId="0">
      <sharedItems containsSemiMixedTypes="0" containsString="0" containsNumber="1" containsInteger="1" minValue="0" maxValue="1"/>
    </cacheField>
    <cacheField name="blaADC-87" numFmtId="0">
      <sharedItems containsSemiMixedTypes="0" containsString="0" containsNumber="1" containsInteger="1" minValue="0" maxValue="1"/>
    </cacheField>
    <cacheField name="blaADC-88" numFmtId="0">
      <sharedItems containsSemiMixedTypes="0" containsString="0" containsNumber="1" containsInteger="1" minValue="0" maxValue="1"/>
    </cacheField>
    <cacheField name="blaADC-99" numFmtId="0">
      <sharedItems containsSemiMixedTypes="0" containsString="0" containsNumber="1" containsInteger="1" minValue="0" maxValue="1"/>
    </cacheField>
    <cacheField name="blaCARB-16" numFmtId="0">
      <sharedItems containsSemiMixedTypes="0" containsString="0" containsNumber="1" containsInteger="1" minValue="0" maxValue="1"/>
    </cacheField>
    <cacheField name="blaCARB-2" numFmtId="0">
      <sharedItems containsSemiMixedTypes="0" containsString="0" containsNumber="1" containsInteger="1" minValue="0" maxValue="1"/>
    </cacheField>
    <cacheField name="blaCARB-50" numFmtId="0">
      <sharedItems containsSemiMixedTypes="0" containsString="0" containsNumber="1" containsInteger="1" minValue="0" maxValue="1"/>
    </cacheField>
    <cacheField name="blaGES-11" numFmtId="0">
      <sharedItems containsSemiMixedTypes="0" containsString="0" containsNumber="1" containsInteger="1" minValue="0" maxValue="1"/>
    </cacheField>
    <cacheField name="blaGES-35" numFmtId="0">
      <sharedItems containsSemiMixedTypes="0" containsString="0" containsNumber="1" containsInteger="1" minValue="0" maxValue="1"/>
    </cacheField>
    <cacheField name="blaI" numFmtId="0">
      <sharedItems containsSemiMixedTypes="0" containsString="0" containsNumber="1" containsInteger="1" minValue="0" maxValue="1"/>
    </cacheField>
    <cacheField name="blaMCA" numFmtId="0">
      <sharedItems containsSemiMixedTypes="0" containsString="0" containsNumber="1" containsInteger="1" minValue="0" maxValue="1"/>
    </cacheField>
    <cacheField name="blaNDM-1" numFmtId="0">
      <sharedItems containsSemiMixedTypes="0" containsString="0" containsNumber="1" containsInteger="1" minValue="0" maxValue="1"/>
    </cacheField>
    <cacheField name="blaOXA" numFmtId="0">
      <sharedItems containsSemiMixedTypes="0" containsString="0" containsNumber="1" containsInteger="1" minValue="0" maxValue="1"/>
    </cacheField>
    <cacheField name="blaOXA-100" numFmtId="0">
      <sharedItems containsSemiMixedTypes="0" containsString="0" containsNumber="1" containsInteger="1" minValue="0" maxValue="1"/>
    </cacheField>
    <cacheField name="blaOXA-104" numFmtId="0">
      <sharedItems containsSemiMixedTypes="0" containsString="0" containsNumber="1" containsInteger="1" minValue="0" maxValue="1"/>
    </cacheField>
    <cacheField name="blaOXA-1076" numFmtId="0">
      <sharedItems containsSemiMixedTypes="0" containsString="0" containsNumber="1" containsInteger="1" minValue="0" maxValue="1"/>
    </cacheField>
    <cacheField name="blaOXA-120" numFmtId="0">
      <sharedItems containsSemiMixedTypes="0" containsString="0" containsNumber="1" containsInteger="1" minValue="0" maxValue="1"/>
    </cacheField>
    <cacheField name="blaOXA-121" numFmtId="0">
      <sharedItems containsSemiMixedTypes="0" containsString="0" containsNumber="1" containsInteger="1" minValue="0" maxValue="1"/>
    </cacheField>
    <cacheField name="blaOXA-144" numFmtId="0">
      <sharedItems containsSemiMixedTypes="0" containsString="0" containsNumber="1" containsInteger="1" minValue="0" maxValue="1"/>
    </cacheField>
    <cacheField name="blaOXA-180" numFmtId="0">
      <sharedItems containsSemiMixedTypes="0" containsString="0" containsNumber="1" containsInteger="1" minValue="0" maxValue="1"/>
    </cacheField>
    <cacheField name="blaOXA-208" numFmtId="0">
      <sharedItems containsSemiMixedTypes="0" containsString="0" containsNumber="1" containsInteger="1" minValue="0" maxValue="1"/>
    </cacheField>
    <cacheField name="blaOXA-217" numFmtId="0">
      <sharedItems containsSemiMixedTypes="0" containsString="0" containsNumber="1" containsInteger="1" minValue="0" maxValue="1"/>
    </cacheField>
    <cacheField name="blaOXA-23" numFmtId="0">
      <sharedItems containsSemiMixedTypes="0" containsString="0" containsNumber="1" containsInteger="1" minValue="0" maxValue="1"/>
    </cacheField>
    <cacheField name="blaOXA-314" numFmtId="0">
      <sharedItems containsSemiMixedTypes="0" containsString="0" containsNumber="1" containsInteger="1" minValue="0" maxValue="1"/>
    </cacheField>
    <cacheField name="blaOXA-337" numFmtId="0">
      <sharedItems containsSemiMixedTypes="0" containsString="0" containsNumber="1" containsInteger="1" minValue="0" maxValue="1"/>
    </cacheField>
    <cacheField name="blaOXA-378" numFmtId="0">
      <sharedItems containsSemiMixedTypes="0" containsString="0" containsNumber="1" containsInteger="1" minValue="0" maxValue="1"/>
    </cacheField>
    <cacheField name="blaOXA-402" numFmtId="0">
      <sharedItems containsSemiMixedTypes="0" containsString="0" containsNumber="1" containsInteger="1" minValue="0" maxValue="1"/>
    </cacheField>
    <cacheField name="blaOXA-411" numFmtId="0">
      <sharedItems containsSemiMixedTypes="0" containsString="0" containsNumber="1" containsInteger="1" minValue="0" maxValue="1"/>
    </cacheField>
    <cacheField name="blaOXA-420" numFmtId="0">
      <sharedItems containsSemiMixedTypes="0" containsString="0" containsNumber="1" containsInteger="1" minValue="0" maxValue="1"/>
    </cacheField>
    <cacheField name="blaOXA-441" numFmtId="0">
      <sharedItems containsSemiMixedTypes="0" containsString="0" containsNumber="1" containsInteger="1" minValue="0" maxValue="1"/>
    </cacheField>
    <cacheField name="blaOXA-51" numFmtId="0">
      <sharedItems containsSemiMixedTypes="0" containsString="0" containsNumber="1" containsInteger="1" minValue="0" maxValue="1"/>
    </cacheField>
    <cacheField name="blaOXA-58" numFmtId="0">
      <sharedItems containsSemiMixedTypes="0" containsString="0" containsNumber="1" containsInteger="1" minValue="0" maxValue="1"/>
    </cacheField>
    <cacheField name="blaOXA-64" numFmtId="0">
      <sharedItems containsSemiMixedTypes="0" containsString="0" containsNumber="1" containsInteger="1" minValue="0" maxValue="1"/>
    </cacheField>
    <cacheField name="blaOXA-65" numFmtId="0">
      <sharedItems containsSemiMixedTypes="0" containsString="0" containsNumber="1" containsInteger="1" minValue="0" maxValue="1"/>
    </cacheField>
    <cacheField name="blaOXA-66" numFmtId="0">
      <sharedItems containsSemiMixedTypes="0" containsString="0" containsNumber="1" containsInteger="1" minValue="0" maxValue="1"/>
    </cacheField>
    <cacheField name="blaOXA-67" numFmtId="0">
      <sharedItems containsSemiMixedTypes="0" containsString="0" containsNumber="1" containsInteger="1" minValue="0" maxValue="1"/>
    </cacheField>
    <cacheField name="blaOXA-68" numFmtId="0">
      <sharedItems containsSemiMixedTypes="0" containsString="0" containsNumber="1" containsInteger="1" minValue="0" maxValue="1"/>
    </cacheField>
    <cacheField name="blaOXA-69" numFmtId="0">
      <sharedItems containsSemiMixedTypes="0" containsString="0" containsNumber="1" containsInteger="1" minValue="0" maxValue="1"/>
    </cacheField>
    <cacheField name="blaOXA-70" numFmtId="0">
      <sharedItems containsSemiMixedTypes="0" containsString="0" containsNumber="1" containsInteger="1" minValue="0" maxValue="1"/>
    </cacheField>
    <cacheField name="blaOXA-71" numFmtId="0">
      <sharedItems containsSemiMixedTypes="0" containsString="0" containsNumber="1" containsInteger="1" minValue="0" maxValue="1"/>
    </cacheField>
    <cacheField name="blaOXA-735" numFmtId="0">
      <sharedItems containsSemiMixedTypes="0" containsString="0" containsNumber="1" containsInteger="1" minValue="0" maxValue="1"/>
    </cacheField>
    <cacheField name="blaOXA-78" numFmtId="0">
      <sharedItems containsSemiMixedTypes="0" containsString="0" containsNumber="1" containsInteger="1" minValue="0" maxValue="1"/>
    </cacheField>
    <cacheField name="blaOXA-856" numFmtId="0">
      <sharedItems containsSemiMixedTypes="0" containsString="0" containsNumber="1" containsInteger="1" minValue="0" maxValue="1"/>
    </cacheField>
    <cacheField name="blaOXA-90" numFmtId="0">
      <sharedItems containsSemiMixedTypes="0" containsString="0" containsNumber="1" containsInteger="1" minValue="0" maxValue="1"/>
    </cacheField>
    <cacheField name="blaOXA-91" numFmtId="0">
      <sharedItems containsSemiMixedTypes="0" containsString="0" containsNumber="1" containsInteger="1" minValue="0" maxValue="1"/>
    </cacheField>
    <cacheField name="blaOXA-94" numFmtId="0">
      <sharedItems containsSemiMixedTypes="0" containsString="0" containsNumber="1" containsInteger="1" minValue="0" maxValue="1"/>
    </cacheField>
    <cacheField name="blaOXA-98" numFmtId="0">
      <sharedItems containsSemiMixedTypes="0" containsString="0" containsNumber="1" containsInteger="1" minValue="0" maxValue="1"/>
    </cacheField>
    <cacheField name="blaPER-1" numFmtId="0">
      <sharedItems containsSemiMixedTypes="0" containsString="0" containsNumber="1" containsInteger="1" minValue="0" maxValue="1"/>
    </cacheField>
    <cacheField name="blaPER-7" numFmtId="0">
      <sharedItems containsSemiMixedTypes="0" containsString="0" containsNumber="1" containsInteger="1" minValue="0" maxValue="1"/>
    </cacheField>
    <cacheField name="blaR1" numFmtId="0">
      <sharedItems containsSemiMixedTypes="0" containsString="0" containsNumber="1" containsInteger="1" minValue="0" maxValue="1"/>
    </cacheField>
    <cacheField name="blaRTG" numFmtId="0">
      <sharedItems containsSemiMixedTypes="0" containsString="0" containsNumber="1" containsInteger="1" minValue="0" maxValue="1"/>
    </cacheField>
    <cacheField name="blaTEM-1" numFmtId="0">
      <sharedItems containsSemiMixedTypes="0" containsString="0" containsNumber="1" containsInteger="1" minValue="0" maxValue="1"/>
    </cacheField>
    <cacheField name="blaZ" numFmtId="0">
      <sharedItems containsSemiMixedTypes="0" containsString="0" containsNumber="1" containsInteger="1" minValue="0" maxValue="1"/>
    </cacheField>
    <cacheField name="ble" numFmtId="0">
      <sharedItems containsSemiMixedTypes="0" containsString="0" containsNumber="1" containsInteger="1" minValue="0" maxValue="1"/>
    </cacheField>
    <cacheField name="catA1" numFmtId="0">
      <sharedItems containsSemiMixedTypes="0" containsString="0" containsNumber="1" containsInteger="1" minValue="0" maxValue="1"/>
    </cacheField>
    <cacheField name="catB8" numFmtId="0">
      <sharedItems containsSemiMixedTypes="0" containsString="0" containsNumber="1" containsInteger="1" minValue="0" maxValue="1"/>
    </cacheField>
    <cacheField name="cmlA1" numFmtId="0">
      <sharedItems containsSemiMixedTypes="0" containsString="0" containsNumber="1" containsInteger="1" minValue="0" maxValue="1"/>
    </cacheField>
    <cacheField name="cmlA5" numFmtId="0">
      <sharedItems containsSemiMixedTypes="0" containsString="0" containsNumber="1" containsInteger="1" minValue="0" maxValue="1"/>
    </cacheField>
    <cacheField name="dfrA1" numFmtId="0">
      <sharedItems containsSemiMixedTypes="0" containsString="0" containsNumber="1" containsInteger="1" minValue="0" maxValue="1"/>
    </cacheField>
    <cacheField name="dfrA20" numFmtId="0">
      <sharedItems containsSemiMixedTypes="0" containsString="0" containsNumber="1" containsInteger="1" minValue="0" maxValue="1"/>
    </cacheField>
    <cacheField name="dfrA40" numFmtId="0">
      <sharedItems containsSemiMixedTypes="0" containsString="0" containsNumber="1" containsInteger="1" minValue="0" maxValue="1"/>
    </cacheField>
    <cacheField name="dfrA44" numFmtId="0">
      <sharedItems containsSemiMixedTypes="0" containsString="0" containsNumber="1" containsInteger="1" minValue="0" maxValue="1"/>
    </cacheField>
    <cacheField name="dfrA45" numFmtId="0">
      <sharedItems containsSemiMixedTypes="0" containsString="0" containsNumber="1" containsInteger="1" minValue="0" maxValue="1"/>
    </cacheField>
    <cacheField name="dfrA7" numFmtId="0">
      <sharedItems containsSemiMixedTypes="0" containsString="0" containsNumber="1" containsInteger="1" minValue="0" maxValue="1"/>
    </cacheField>
    <cacheField name="dfrS1" numFmtId="0">
      <sharedItems containsSemiMixedTypes="0" containsString="0" containsNumber="1" containsInteger="1" minValue="0" maxValue="1"/>
    </cacheField>
    <cacheField name="floR" numFmtId="0">
      <sharedItems containsSemiMixedTypes="0" containsString="0" containsNumber="1" containsInteger="1" minValue="0" maxValue="1"/>
    </cacheField>
    <cacheField name="fos" numFmtId="0">
      <sharedItems containsSemiMixedTypes="0" containsString="0" containsNumber="1" containsInteger="1" minValue="0" maxValue="1"/>
    </cacheField>
    <cacheField name="fosB" numFmtId="0">
      <sharedItems containsSemiMixedTypes="0" containsString="0" containsNumber="1" containsInteger="1" minValue="0" maxValue="1"/>
    </cacheField>
    <cacheField name="lnu(A)" numFmtId="0">
      <sharedItems containsSemiMixedTypes="0" containsString="0" containsNumber="1" containsInteger="1" minValue="0" maxValue="1"/>
    </cacheField>
    <cacheField name="mph(E)" numFmtId="0">
      <sharedItems containsSemiMixedTypes="0" containsString="0" containsNumber="1" containsInteger="1" minValue="0" maxValue="1"/>
    </cacheField>
    <cacheField name="msr(E)" numFmtId="0">
      <sharedItems containsSemiMixedTypes="0" containsString="0" containsNumber="1" containsInteger="1" minValue="0" maxValue="1"/>
    </cacheField>
    <cacheField name="qacE" numFmtId="0">
      <sharedItems containsSemiMixedTypes="0" containsString="0" containsNumber="1" containsInteger="1" minValue="0" maxValue="1"/>
    </cacheField>
    <cacheField name="qacEdelta1" numFmtId="0">
      <sharedItems containsSemiMixedTypes="0" containsString="0" containsNumber="1" containsInteger="1" minValue="0" maxValue="1"/>
    </cacheField>
    <cacheField name="sat2" numFmtId="0">
      <sharedItems containsSemiMixedTypes="0" containsString="0" containsNumber="1" containsInteger="1" minValue="0" maxValue="1"/>
    </cacheField>
    <cacheField name="sul1" numFmtId="0">
      <sharedItems containsSemiMixedTypes="0" containsString="0" containsNumber="1" containsInteger="1" minValue="0" maxValue="1"/>
    </cacheField>
    <cacheField name="sul2" numFmtId="0">
      <sharedItems containsSemiMixedTypes="0" containsString="0" containsNumber="1" containsInteger="1" minValue="0" maxValue="1"/>
    </cacheField>
    <cacheField name="tet(39)" numFmtId="0">
      <sharedItems containsSemiMixedTypes="0" containsString="0" containsNumber="1" containsInteger="1" minValue="0" maxValue="1"/>
    </cacheField>
    <cacheField name="tet(A)" numFmtId="0">
      <sharedItems containsSemiMixedTypes="0" containsString="0" containsNumber="1" containsInteger="1" minValue="0" maxValue="1"/>
    </cacheField>
    <cacheField name="tet(B)" numFmtId="0">
      <sharedItems containsSemiMixedTypes="0" containsString="0" containsNumber="1" containsInteger="1" minValue="0" maxValue="1"/>
    </cacheField>
    <cacheField name="tet(G)" numFmtId="0">
      <sharedItems containsSemiMixedTypes="0" containsString="0" containsNumber="1" containsInteger="1" minValue="0" maxValue="1"/>
    </cacheField>
    <cacheField name="tet(X3)" numFmtId="0">
      <sharedItems containsSemiMixedTypes="0" containsString="0" containsNumber="1" containsInteger="1" minValue="0" maxValue="1"/>
    </cacheField>
    <cacheField name="ST" numFmtId="0">
      <sharedItems containsMixedTypes="1" containsNumber="1" containsInteger="1" minValue="1" maxValue="2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s v="SAMEA112258678"/>
    <x v="0"/>
    <x v="0"/>
    <s v="PRJEB58617"/>
    <n v="11.8145966"/>
    <n v="42.845306100000002"/>
    <s v="6899ac4e7ea258dcfc965175"/>
    <s v="ERR10710700"/>
    <s v="v4.0.0"/>
    <s v="Acinetobacter baumannii"/>
    <n v="470"/>
    <s v="Acinetobacter baumannii"/>
    <n v="470"/>
    <s v="Acinetobacter"/>
    <n v="469"/>
    <s v="Acinetobacter"/>
    <s v="NZ_JAAEFQ010000001.1"/>
    <s v="963/1000"/>
    <n v="0"/>
    <n v="9.0612400000000001E-4"/>
    <s v="Pus - Nosocomial human infection - ICU_x000a_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1"/>
    <s v="SAMEA112258680"/>
    <x v="0"/>
    <x v="0"/>
    <s v="PRJEB58617"/>
    <n v="11.8145966"/>
    <n v="42.845306100000002"/>
    <s v="6899ac4e7ea258316f965176"/>
    <s v="ERR10710702"/>
    <s v="v4.0.0"/>
    <s v="Acinetobacter baumannii"/>
    <n v="470"/>
    <s v="Acinetobacter baumannii"/>
    <n v="470"/>
    <s v="Acinetobacter"/>
    <n v="469"/>
    <s v="Acinetobacter"/>
    <s v="NZ_JAAEFQ010000001.1"/>
    <s v="956/1000"/>
    <n v="0"/>
    <n v="1.0834200000000001E-3"/>
    <s v="Pus - Nosocomial human infection - ICU_x000a_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2"/>
    <s v="SAMEA112258681"/>
    <x v="0"/>
    <x v="0"/>
    <s v="PRJEB58617"/>
    <n v="11.8145966"/>
    <n v="42.845306100000002"/>
    <s v="6899ac4e7ea258d2cc965177"/>
    <s v="ERR10710703"/>
    <s v="v4.0.0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Blood - Nosocomial human infection - ICU_x000a_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3"/>
    <s v="SAMEA112258683"/>
    <x v="0"/>
    <x v="0"/>
    <s v="PRJEB58617"/>
    <n v="11.8145966"/>
    <n v="42.845306100000002"/>
    <s v="6899ac4e7ea2581267965178"/>
    <s v="ERR10710705"/>
    <s v="v4.0.0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rotected specimen brushing (PSB) - Nosocomial human infection - Intensive care unit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4"/>
    <s v="SAMEA112258684"/>
    <x v="0"/>
    <x v="0"/>
    <s v="PRJEB58617"/>
    <n v="11.8145966"/>
    <n v="42.845306100000002"/>
    <s v="6899ac4e7ea258b0cd965179"/>
    <s v="ERR10710706"/>
    <s v="v4.0.0"/>
    <s v="Acinetobacter baumannii"/>
    <n v="470"/>
    <s v="Acinetobacter baumannii"/>
    <n v="470"/>
    <s v="Acinetobacter"/>
    <n v="469"/>
    <s v="Acinetobacter"/>
    <s v="NZ_JAAOSU010000001.1"/>
    <s v="966/1000"/>
    <n v="0"/>
    <n v="8.3072799999999998E-4"/>
    <s v="Cerebrospinal fluid (CSF) - Nosocomial human infection - Intensive care unit"/>
    <s v="Human"/>
    <s v="infection"/>
    <s v="Carbapenemase-Producing gram-negative bacteria in Djibouti city, Djibouti"/>
    <s v="Universite de Limoges"/>
    <s v="Djibouti"/>
    <x v="0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5"/>
    <s v="SAMEA112258685"/>
    <x v="0"/>
    <x v="0"/>
    <s v="PRJEB58617"/>
    <n v="11.8145966"/>
    <n v="42.845306100000002"/>
    <s v="6899ac4e7ea258587c96517a"/>
    <s v="ERR10710707"/>
    <s v="v4.0.0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us - Nosocomial human infection - Otorhinolaryngology unit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6"/>
    <s v="SAMEA112258687"/>
    <x v="0"/>
    <x v="0"/>
    <s v="PRJEB58617"/>
    <n v="11.8145966"/>
    <n v="42.845306100000002"/>
    <s v="6899ac4e7ea258186d96517b"/>
    <s v="ERR10710709"/>
    <s v="v4.0.0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us - Nosocomial human infection - Intensive care unit"/>
    <s v="Human"/>
    <s v="infection"/>
    <s v="Carbapenemase-Producing gram-negative bacteria in Djibouti city, Djibouti"/>
    <s v="Universite de Limoges"/>
    <s v="Djibouti"/>
    <x v="0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7"/>
    <s v="SAMEA112328298"/>
    <x v="0"/>
    <x v="0"/>
    <s v="PRJEB58695"/>
    <n v="7.3487200000000001"/>
    <n v="3.8792900000000001"/>
    <s v="6896bc3fb321bd730ecb31ea"/>
    <s v="ERR10782663"/>
    <s v="v4.0.0"/>
    <s v="Acinetobacter baumannii"/>
    <n v="470"/>
    <s v="Acinetobacter baumannii"/>
    <n v="470"/>
    <s v="Acinetobacter"/>
    <n v="469"/>
    <s v="Acinetobacter"/>
    <s v="NZ_RHYF01000100.1"/>
    <s v="567/1000"/>
    <n v="0"/>
    <n v="1.54006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8"/>
    <s v="SAMEA112328303"/>
    <x v="0"/>
    <x v="1"/>
    <s v="PRJEB58695"/>
    <n v="7.3487200000000001"/>
    <n v="3.8792900000000001"/>
    <s v="6896bc3fb321bd2e71cb31eb"/>
    <s v="ERR10782668"/>
    <s v="v4.0.0"/>
    <s v="Acinetobacter baumannii"/>
    <n v="470"/>
    <s v="Acinetobacter baumannii"/>
    <n v="470"/>
    <s v="Acinetobacter"/>
    <n v="469"/>
    <s v="Acinetobacter"/>
    <s v="NZ_AVST01000001.1"/>
    <s v="891/1000"/>
    <n v="0"/>
    <n v="2.8271199999999998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"/>
  </r>
  <r>
    <x v="9"/>
    <s v="SAMEA112328305"/>
    <x v="0"/>
    <x v="1"/>
    <s v="PRJEB58695"/>
    <n v="7.3487200000000001"/>
    <n v="3.8792900000000001"/>
    <s v="6896bc3fb321bd489fcb31ec"/>
    <s v="ERR10782671"/>
    <s v="v4.0.0"/>
    <s v="Acinetobacter baumannii"/>
    <n v="470"/>
    <s v="Acinetobacter baumannii"/>
    <n v="470"/>
    <s v="Acinetobacter"/>
    <n v="469"/>
    <s v="Acinetobacter"/>
    <s v="NZ_JAAGSF010000001.1"/>
    <s v="905/1000"/>
    <n v="0"/>
    <n v="2.43596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x v="3"/>
  </r>
  <r>
    <x v="10"/>
    <s v="SAMEA112328312"/>
    <x v="0"/>
    <x v="1"/>
    <s v="PRJEB58695"/>
    <n v="7.3487200000000001"/>
    <n v="3.8792900000000001"/>
    <s v="6896bc3fb321bddef7cb31ed"/>
    <s v="ERR10782676"/>
    <s v="v4.0.0"/>
    <s v="Acinetobacter baumannii"/>
    <n v="470"/>
    <s v="Acinetobacter baumannii"/>
    <n v="470"/>
    <s v="Acinetobacter"/>
    <n v="469"/>
    <s v="Acinetobacter"/>
    <s v="NZ_CVLD01000001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x v="4"/>
  </r>
  <r>
    <x v="11"/>
    <s v="SAMEA112328316"/>
    <x v="0"/>
    <x v="0"/>
    <s v="PRJEB58695"/>
    <n v="7.3487200000000001"/>
    <n v="3.8792900000000001"/>
    <s v="6896bc3fb321bd7cf1cb31ee"/>
    <s v="ERR10782680"/>
    <s v="v4.0.0"/>
    <s v="Acinetobacter baumannii"/>
    <n v="470"/>
    <s v="Acinetobacter baumannii"/>
    <n v="470"/>
    <s v="Acinetobacter"/>
    <n v="469"/>
    <s v="Acinetobacter"/>
    <s v="NZ_QCXT01000001.1"/>
    <s v="701/1000"/>
    <n v="0"/>
    <n v="9.20554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5"/>
  </r>
  <r>
    <x v="12"/>
    <s v="SAMEA112328322"/>
    <x v="1"/>
    <x v="0"/>
    <s v="PRJEB58695"/>
    <n v="7.3487200000000001"/>
    <n v="3.8792900000000001"/>
    <s v="6896bc3fb321bd706fcb31ef"/>
    <s v="ERR10782688"/>
    <s v="v4.0.0"/>
    <s v="Acinetobacter baumannii"/>
    <n v="470"/>
    <s v="Acinetobacter baumannii"/>
    <n v="470"/>
    <s v="Acinetobacter"/>
    <n v="469"/>
    <s v="Acinetobacter"/>
    <s v="NZ_WWCH01000001.1"/>
    <s v="917/1000"/>
    <n v="0"/>
    <n v="2.1077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x v="6"/>
  </r>
  <r>
    <x v="13"/>
    <s v="SAMEA112328326"/>
    <x v="0"/>
    <x v="0"/>
    <s v="PRJEB58695"/>
    <n v="7.3487200000000001"/>
    <n v="3.8792900000000001"/>
    <s v="6896bc3fb321bd76ffcb31f0"/>
    <s v="ERR10782695"/>
    <s v="v4.0.0"/>
    <s v="Acinetobacter baumannii"/>
    <n v="470"/>
    <s v="Acinetobacter baumannii"/>
    <n v="470"/>
    <s v="Acinetobacter"/>
    <n v="469"/>
    <s v="Acinetobacter"/>
    <s v="NZ_UFIQ01000049.1"/>
    <s v="897/1000"/>
    <n v="0"/>
    <n v="2.65838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14"/>
    <s v="SAMEA112328354"/>
    <x v="0"/>
    <x v="0"/>
    <s v="PRJEB58695"/>
    <n v="7.3487200000000001"/>
    <n v="3.8792900000000001"/>
    <s v="6896bc3fb321bd0abecb31f1"/>
    <s v="ERR10782717"/>
    <s v="v4.0.0"/>
    <s v="Acinetobacter baumannii"/>
    <n v="470"/>
    <s v="Acinetobacter baumannii"/>
    <n v="470"/>
    <s v="Acinetobacter"/>
    <n v="469"/>
    <s v="Acinetobacter"/>
    <s v="NZ_JMOD01000001.1"/>
    <s v="786/1000"/>
    <n v="0"/>
    <n v="6.07760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15"/>
    <s v="SAMEA112328363"/>
    <x v="0"/>
    <x v="0"/>
    <s v="PRJEB58695"/>
    <n v="7.3487200000000001"/>
    <n v="3.8792900000000001"/>
    <s v="6896bc3fb321bd5ea5cb31f2"/>
    <s v="ERR10782743"/>
    <s v="v4.0.0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16"/>
    <s v="SAMEA112328301"/>
    <x v="0"/>
    <x v="1"/>
    <s v="PRJEB58695"/>
    <n v="7.3487200000000001"/>
    <n v="3.8792900000000001"/>
    <s v="6896bc3fb321bdf4fbcb31a6"/>
    <s v="ERR10783123"/>
    <s v="v4.0.0"/>
    <s v="Acinetobacter baumannii"/>
    <n v="470"/>
    <s v="Acinetobacter baumannii"/>
    <n v="470"/>
    <s v="Acinetobacter"/>
    <n v="469"/>
    <s v="Acinetobacter"/>
    <s v="NZ_RFEE01000001.1"/>
    <s v="556/1000"/>
    <n v="0"/>
    <n v="1.5997999999999998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x v="9"/>
  </r>
  <r>
    <x v="17"/>
    <s v="SAMEA112328309"/>
    <x v="0"/>
    <x v="1"/>
    <s v="PRJEB58695"/>
    <n v="7.3487200000000001"/>
    <n v="3.8792900000000001"/>
    <s v="6896bc3fb321bdf134cb31a7"/>
    <s v="ERR10783128"/>
    <s v="v4.0.0"/>
    <s v="Acinetobacter baumannii"/>
    <n v="470"/>
    <s v="Acinetobacter baumannii"/>
    <n v="470"/>
    <s v="Acinetobacter"/>
    <n v="469"/>
    <s v="Acinetobacter"/>
    <s v="NZ_NIWP01000085.1"/>
    <s v="889/1000"/>
    <n v="0"/>
    <n v="2.88374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x v="10"/>
  </r>
  <r>
    <x v="18"/>
    <s v="SAMEA112328311"/>
    <x v="0"/>
    <x v="1"/>
    <s v="PRJEB58695"/>
    <n v="7.3487200000000001"/>
    <n v="3.8792900000000001"/>
    <s v="6896bc3fb321bd77b5cb31a8"/>
    <s v="ERR10783132"/>
    <s v="v4.0.0"/>
    <s v="Acinetobacter baumannii"/>
    <n v="470"/>
    <s v="Acinetobacter baumannii"/>
    <n v="470"/>
    <s v="Acinetobacter"/>
    <n v="469"/>
    <s v="Acinetobacter"/>
    <s v="NZ_CVLD01000001.1"/>
    <s v="957/1000"/>
    <n v="0"/>
    <n v="1.057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2"/>
  </r>
  <r>
    <x v="19"/>
    <s v="SAMEA112328319"/>
    <x v="0"/>
    <x v="0"/>
    <s v="PRJEB58695"/>
    <n v="7.3487200000000001"/>
    <n v="3.8792900000000001"/>
    <s v="6896bc3fb321bd5453cb31a9"/>
    <s v="ERR10783138"/>
    <s v="v4.0.0"/>
    <s v="Acinetobacter baumannii"/>
    <n v="470"/>
    <s v="Acinetobacter baumannii"/>
    <n v="470"/>
    <s v="Acinetobacter"/>
    <n v="469"/>
    <s v="Acinetobacter"/>
    <s v="NZ_JMOD01000001.1"/>
    <s v="738/1000"/>
    <n v="0"/>
    <n v="7.780920000000000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1"/>
  </r>
  <r>
    <x v="20"/>
    <s v="SAMEA112328327"/>
    <x v="0"/>
    <x v="0"/>
    <s v="PRJEB58695"/>
    <n v="7.3487200000000001"/>
    <n v="3.8792900000000001"/>
    <s v="6896bc3fb321bd72c7cb31aa"/>
    <s v="ERR10783144"/>
    <s v="v4.0.0"/>
    <s v="Acinetobacter baumannii"/>
    <n v="470"/>
    <s v="Acinetobacter baumannii"/>
    <n v="470"/>
    <s v="Acinetobacter"/>
    <n v="469"/>
    <s v="Acinetobacter"/>
    <s v="NZ_NGHQ01000032.1"/>
    <s v="915/1000"/>
    <n v="0"/>
    <n v="2.161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x v="12"/>
  </r>
  <r>
    <x v="21"/>
    <s v="SAMEA112328335"/>
    <x v="0"/>
    <x v="1"/>
    <s v="PRJEB58695"/>
    <n v="7.3487200000000001"/>
    <n v="3.8792900000000001"/>
    <s v="6896bc3fb321bdc3c4cb31ab"/>
    <s v="ERR10783153"/>
    <s v="v4.0.0"/>
    <s v="Acinetobacter baumannii"/>
    <n v="470"/>
    <s v="Acinetobacter baumannii"/>
    <n v="470"/>
    <s v="Acinetobacter"/>
    <n v="469"/>
    <s v="Acinetobacter"/>
    <s v="NZ_CVLD01000001.1"/>
    <s v="959/1000"/>
    <n v="0"/>
    <n v="1.0072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22"/>
    <s v="SAMEA112328338"/>
    <x v="0"/>
    <x v="1"/>
    <s v="PRJEB58695"/>
    <n v="7.3487200000000001"/>
    <n v="3.8792900000000001"/>
    <s v="6896bc3fb321bdff75cb31ac"/>
    <s v="ERR10783156"/>
    <s v="v4.0.0"/>
    <s v="Acinetobacter baumannii"/>
    <n v="470"/>
    <s v="Acinetobacter baumannii"/>
    <n v="470"/>
    <s v="Acinetobacter"/>
    <n v="469"/>
    <s v="Acinetobacter"/>
    <s v="NZ_AFCZ02000003.1"/>
    <s v="940/1000"/>
    <n v="0"/>
    <n v="1.49601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3"/>
  </r>
  <r>
    <x v="23"/>
    <s v="SAMEA112328341"/>
    <x v="0"/>
    <x v="1"/>
    <s v="PRJEB58695"/>
    <n v="7.3487200000000001"/>
    <n v="3.8792900000000001"/>
    <s v="6896bc3fb321bd095dcb31ad"/>
    <s v="ERR10783159"/>
    <s v="v4.0.0"/>
    <s v="Acinetobacter baumannii"/>
    <n v="470"/>
    <s v="Acinetobacter baumannii"/>
    <n v="470"/>
    <s v="Acinetobacter"/>
    <n v="469"/>
    <s v="Acinetobacter"/>
    <s v="NZ_JAAGSF010000001.1"/>
    <s v="903/1000"/>
    <n v="0"/>
    <n v="2.4912900000000002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x v="3"/>
  </r>
  <r>
    <x v="24"/>
    <s v="SAMEA112328347"/>
    <x v="0"/>
    <x v="1"/>
    <s v="PRJEB58695"/>
    <n v="7.3487200000000001"/>
    <n v="3.8792900000000001"/>
    <s v="6896bc3fb321bd3fdacb31ae"/>
    <s v="ERR10783163"/>
    <s v="v4.0.0"/>
    <s v="Acinetobacter baumannii"/>
    <n v="470"/>
    <s v="Acinetobacter baumannii"/>
    <n v="470"/>
    <s v="Acinetobacter"/>
    <n v="469"/>
    <s v="Acinetobacter"/>
    <s v="NZ_CVLD01000001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25"/>
    <s v="SAMEA112328348"/>
    <x v="0"/>
    <x v="1"/>
    <s v="PRJEB58695"/>
    <n v="7.3487200000000001"/>
    <n v="3.8792900000000001"/>
    <s v="6896bc3fb321bd1f1acb31af"/>
    <s v="ERR10783166"/>
    <s v="v4.0.0"/>
    <s v="Acinetobacter baumannii"/>
    <n v="470"/>
    <s v="Acinetobacter baumannii"/>
    <n v="470"/>
    <s v="Acinetobacter"/>
    <n v="469"/>
    <s v="Acinetobacter"/>
    <s v="NZ_AVST01000001.1"/>
    <s v="892/1000"/>
    <n v="0"/>
    <n v="2.79888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14"/>
  </r>
  <r>
    <x v="26"/>
    <s v="SAMEA112328413"/>
    <x v="0"/>
    <x v="0"/>
    <s v="PRJEB58695"/>
    <n v="7.3487200000000001"/>
    <n v="3.8792900000000001"/>
    <s v="6896bc3fb321bde5aacb31b0"/>
    <s v="ERR10783178"/>
    <s v="v4.0.0"/>
    <s v="Acinetobacter baumannii"/>
    <n v="470"/>
    <s v="Acinetobacter baumannii"/>
    <n v="470"/>
    <s v="Acinetobacter"/>
    <n v="469"/>
    <s v="Acinetobacter"/>
    <s v="NZ_VHEI01000001.1"/>
    <s v="914/1000"/>
    <n v="0"/>
    <n v="2.18918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x v="12"/>
  </r>
  <r>
    <x v="27"/>
    <s v="SAMEA112328318"/>
    <x v="0"/>
    <x v="0"/>
    <s v="PRJEB58695"/>
    <n v="7.3487200000000001"/>
    <n v="3.8792900000000001"/>
    <s v="6896bc3fb321bd0e99cb31b1"/>
    <s v="ERR10787957"/>
    <s v="v4.0.0"/>
    <s v="Acinetobacter baumannii"/>
    <n v="470"/>
    <s v="Acinetobacter baumannii"/>
    <n v="470"/>
    <s v="Acinetobacter"/>
    <n v="469"/>
    <s v="Acinetobacter"/>
    <s v="NZ_JMOD01000001.1"/>
    <s v="732/1000"/>
    <n v="0"/>
    <n v="8.00497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5"/>
  </r>
  <r>
    <x v="28"/>
    <s v="SAMEA112328321"/>
    <x v="0"/>
    <x v="0"/>
    <s v="PRJEB58695"/>
    <n v="7.3487200000000001"/>
    <n v="3.8792900000000001"/>
    <s v="6896bc3fb321bd2eaacb31b2"/>
    <s v="ERR10787959"/>
    <s v="v4.0.0"/>
    <s v="Acinetobacter baumannii"/>
    <n v="470"/>
    <s v="Acinetobacter baumannii"/>
    <n v="470"/>
    <s v="Acinetobacter"/>
    <n v="469"/>
    <s v="Acinetobacter"/>
    <s v="NZ_NGHR01000009.1"/>
    <s v="784/1000"/>
    <n v="0"/>
    <n v="6.1455800000000003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29"/>
    <s v="SAMEA112328325"/>
    <x v="0"/>
    <x v="0"/>
    <s v="PRJEB58695"/>
    <n v="7.3487200000000001"/>
    <n v="3.8792900000000001"/>
    <s v="6896bc3fb321bd6f4acb31b3"/>
    <s v="ERR10787961"/>
    <s v="v4.0.0"/>
    <s v="Acinetobacter baumannii"/>
    <n v="470"/>
    <s v="Acinetobacter baumannii"/>
    <n v="470"/>
    <s v="Acinetobacter"/>
    <n v="469"/>
    <s v="Acinetobacter"/>
    <s v="NZ_VHEI01000001.1"/>
    <s v="911/1000"/>
    <n v="0"/>
    <n v="2.271040000000000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x v="12"/>
  </r>
  <r>
    <x v="30"/>
    <s v="SAMEA112328342"/>
    <x v="0"/>
    <x v="1"/>
    <s v="PRJEB58695"/>
    <n v="7.3487200000000001"/>
    <n v="3.8792900000000001"/>
    <s v="6896bc3fb321bd43dccb31b4"/>
    <s v="ERR10788033"/>
    <s v="v4.0.0"/>
    <s v="Acinetobacter baumannii"/>
    <n v="470"/>
    <s v="Acinetobacter baumannii"/>
    <n v="470"/>
    <s v="Acinetobacter"/>
    <n v="469"/>
    <s v="Acinetobacter"/>
    <s v="NZ_AP014649.1"/>
    <s v="956/1000"/>
    <n v="0"/>
    <n v="1.08342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16"/>
  </r>
  <r>
    <x v="31"/>
    <s v="SAMEA112328360"/>
    <x v="0"/>
    <x v="0"/>
    <s v="PRJEB58695"/>
    <n v="7.3487200000000001"/>
    <n v="3.8792900000000001"/>
    <s v="6896bc3fb321bd3392cb31b5"/>
    <s v="ERR10788115"/>
    <s v="v4.0.0"/>
    <s v="Acinetobacter baumannii"/>
    <n v="470"/>
    <s v="Acinetobacter baumannii"/>
    <n v="470"/>
    <s v="Acinetobacter"/>
    <n v="469"/>
    <s v="Acinetobacter"/>
    <s v="NZ_VHDV01000001.1"/>
    <s v="928/1000"/>
    <n v="0"/>
    <n v="1.81236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1"/>
    <n v="1"/>
    <n v="0"/>
    <n v="1"/>
    <n v="0"/>
    <n v="0"/>
    <x v="17"/>
  </r>
  <r>
    <x v="32"/>
    <s v="SAMEA112328386"/>
    <x v="0"/>
    <x v="0"/>
    <s v="PRJEB58695"/>
    <n v="7.3487200000000001"/>
    <n v="3.8792900000000001"/>
    <s v="6896bc3fb321bdc737cb31b6"/>
    <s v="ERR10788118"/>
    <s v="v4.0.0"/>
    <s v="Acinetobacter baumannii"/>
    <n v="470"/>
    <s v="Acinetobacter baumannii"/>
    <n v="470"/>
    <s v="Acinetobacter"/>
    <n v="469"/>
    <s v="Acinetobacter"/>
    <s v="NZ_QCXT01000001.1"/>
    <s v="769/1000"/>
    <n v="0"/>
    <n v="6.66340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18"/>
  </r>
  <r>
    <x v="33"/>
    <s v="SAMEA112328411"/>
    <x v="0"/>
    <x v="0"/>
    <s v="PRJEB58695"/>
    <n v="7.3487200000000001"/>
    <n v="3.8792900000000001"/>
    <s v="6896bc3fb321bd4e59cb31b7"/>
    <s v="ERR10788121"/>
    <s v="v4.0.0"/>
    <s v="Acinetobacter baumannii"/>
    <n v="470"/>
    <s v="Acinetobacter baumannii"/>
    <n v="470"/>
    <s v="Acinetobacter"/>
    <n v="469"/>
    <s v="Acinetobacter"/>
    <s v="NZ_NXGU01000001.1"/>
    <s v="978/1000"/>
    <n v="0"/>
    <n v="5.3260299999999998E-4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34"/>
    <s v="SAMEA112328307"/>
    <x v="0"/>
    <x v="1"/>
    <s v="PRJEB58695"/>
    <n v="7.3487200000000001"/>
    <n v="3.8792900000000001"/>
    <s v="6896bc3fb321bd490bcb31b8"/>
    <s v="ERR10794274"/>
    <s v="v4.0.0"/>
    <s v="Acinetobacter baumannii"/>
    <n v="470"/>
    <s v="Acinetobacter baumannii"/>
    <n v="470"/>
    <s v="Acinetobacter"/>
    <n v="469"/>
    <s v="Acinetobacter"/>
    <s v="NZ_WWCH01000001.1"/>
    <s v="896/1000"/>
    <n v="0"/>
    <n v="2.6863899999999999E-3"/>
    <s v="Sputun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x v="2"/>
  </r>
  <r>
    <x v="35"/>
    <s v="SAMEA112328330"/>
    <x v="0"/>
    <x v="0"/>
    <s v="PRJEB58695"/>
    <n v="7.3487200000000001"/>
    <n v="3.8792900000000001"/>
    <s v="6896bc3fb321bd4a22cb31b9"/>
    <s v="ERR10794308"/>
    <s v="v4.0.0"/>
    <s v="Acinetobacter baumannii"/>
    <n v="470"/>
    <s v="Acinetobacter baumannii"/>
    <n v="470"/>
    <s v="Acinetobacter"/>
    <n v="469"/>
    <s v="Acinetobacter"/>
    <s v="NZ_VHEI01000001.1"/>
    <s v="914/1000"/>
    <n v="0"/>
    <n v="2.18918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x v="12"/>
  </r>
  <r>
    <x v="36"/>
    <s v="SAMEA112328340"/>
    <x v="0"/>
    <x v="1"/>
    <s v="PRJEB58695"/>
    <n v="7.3487200000000001"/>
    <n v="3.8792900000000001"/>
    <s v="6896bc3fb321bd2c3ecb31ba"/>
    <s v="ERR10794316"/>
    <s v="v4.0.0"/>
    <s v="Acinetobacter baumannii"/>
    <n v="470"/>
    <s v="Acinetobacter baumannii"/>
    <n v="470"/>
    <s v="Acinetobacter"/>
    <n v="469"/>
    <s v="Acinetobacter"/>
    <s v="NZ_AFCZ02000003.1"/>
    <s v="940/1000"/>
    <n v="0"/>
    <n v="1.4960100000000001E-3"/>
    <s v="stool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13"/>
  </r>
  <r>
    <x v="37"/>
    <s v="SAMEA112328350"/>
    <x v="0"/>
    <x v="1"/>
    <s v="PRJEB58695"/>
    <n v="7.3487200000000001"/>
    <n v="3.8792900000000001"/>
    <s v="6896bc3fb321bd1ab0cb31bb"/>
    <s v="ERR10794327"/>
    <s v="v4.0.0"/>
    <s v="Acinetobacter baumannii"/>
    <n v="470"/>
    <s v="Acinetobacter baumannii"/>
    <n v="470"/>
    <s v="Acinetobacter"/>
    <n v="469"/>
    <s v="Acinetobacter"/>
    <s v="NZ_AP014649.1"/>
    <s v="957/1000"/>
    <n v="0"/>
    <n v="1.05797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16"/>
  </r>
  <r>
    <x v="38"/>
    <s v="SAMEA112328317"/>
    <x v="0"/>
    <x v="0"/>
    <s v="PRJEB58695"/>
    <n v="7.3487200000000001"/>
    <n v="3.8792900000000001"/>
    <s v="6896bc3fb321bd1bf4cb31bc"/>
    <s v="ERR10802836"/>
    <s v="v4.0.0"/>
    <s v="Acinetobacter baumannii"/>
    <n v="470"/>
    <s v="Acinetobacter baumannii"/>
    <n v="470"/>
    <s v="Acinetobacter"/>
    <n v="469"/>
    <s v="Acinetobacter"/>
    <s v="NZ_JMOD01000001.1"/>
    <s v="739/1000"/>
    <n v="0"/>
    <n v="7.74383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1"/>
  </r>
  <r>
    <x v="39"/>
    <s v="SAMEA112328343"/>
    <x v="0"/>
    <x v="1"/>
    <s v="PRJEB58695"/>
    <n v="7.3487200000000001"/>
    <n v="3.8792900000000001"/>
    <s v="6896bc3fb321bd5970cb31bd"/>
    <s v="ERR10802837"/>
    <s v="v4.0.0"/>
    <s v="Acinetobacter baumannii"/>
    <n v="470"/>
    <s v="Acinetobacter baumannii"/>
    <n v="470"/>
    <s v="Acinetobacter"/>
    <n v="469"/>
    <s v="Acinetobacter"/>
    <s v="NZ_JAAGSF010000001.1"/>
    <s v="909/1000"/>
    <n v="0"/>
    <n v="2.32584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x v="3"/>
  </r>
  <r>
    <x v="40"/>
    <s v="SAMEA112328384"/>
    <x v="0"/>
    <x v="0"/>
    <s v="PRJEB58695"/>
    <n v="7.3487200000000001"/>
    <n v="3.8792900000000001"/>
    <s v="6896bc3fb321bd323acb31be"/>
    <s v="ERR10805899"/>
    <s v="v4.0.0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41"/>
    <s v="SAMEA112328310"/>
    <x v="0"/>
    <x v="1"/>
    <s v="PRJEB58695"/>
    <n v="7.3487200000000001"/>
    <n v="3.8792900000000001"/>
    <s v="6896bc3fb321bd4c1fcb31bf"/>
    <s v="ERR10808103"/>
    <s v="v4.0.0"/>
    <s v="Acinetobacter baumannii"/>
    <n v="470"/>
    <s v="Acinetobacter baumannii"/>
    <n v="470"/>
    <s v="Acinetobacter"/>
    <n v="469"/>
    <s v="Acinetobacter"/>
    <s v="NZ_CVLD01000001.1"/>
    <s v="932/1000"/>
    <n v="0"/>
    <n v="1.7062399999999999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42"/>
    <s v="SAMEA112328332"/>
    <x v="0"/>
    <x v="0"/>
    <s v="PRJEB58695"/>
    <n v="7.3487200000000001"/>
    <n v="3.8792900000000001"/>
    <s v="6896bc3fb321bda11ecb31c0"/>
    <s v="ERR10808115"/>
    <s v="v4.0.0"/>
    <s v="Acinetobacter baumannii"/>
    <n v="470"/>
    <s v="Acinetobacter baumannii"/>
    <n v="470"/>
    <s v="Acinetobacter"/>
    <n v="469"/>
    <s v="Acinetobacter"/>
    <s v="NZ_JMOD01000001.1"/>
    <s v="713/1000"/>
    <n v="0"/>
    <n v="8.7320399999999999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"/>
  </r>
  <r>
    <x v="43"/>
    <s v="SAMEA112328410"/>
    <x v="0"/>
    <x v="1"/>
    <s v="PRJEB58695"/>
    <n v="7.3487200000000001"/>
    <n v="3.8792900000000001"/>
    <s v="6896bc3fb321bd4921cb31c1"/>
    <s v="ERR10808136"/>
    <s v="v4.0.0"/>
    <s v="Acinetobacter baumannii"/>
    <n v="470"/>
    <s v="Acinetobacter baumannii"/>
    <n v="470"/>
    <s v="Acinetobacter"/>
    <n v="469"/>
    <s v="Acinetobacter"/>
    <s v="NZ_AFCZ02000003.1"/>
    <s v="947/1000"/>
    <n v="0"/>
    <n v="1.31423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3"/>
  </r>
  <r>
    <x v="44"/>
    <s v="SAMEA112328333"/>
    <x v="0"/>
    <x v="1"/>
    <s v="PRJEB58695"/>
    <n v="7.3487200000000001"/>
    <n v="3.8792900000000001"/>
    <s v="6896bc3fb321bd2dd8cb31c2"/>
    <s v="ERR10809417"/>
    <s v="v4.0.0"/>
    <s v="Acinetobacter baumannii"/>
    <n v="470"/>
    <s v="Acinetobacter baumannii"/>
    <n v="470"/>
    <s v="Acinetobacter"/>
    <n v="469"/>
    <s v="Acinetobacter"/>
    <s v="NZ_CVLD01000001.1"/>
    <s v="959/1000"/>
    <n v="0"/>
    <n v="1.0072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45"/>
    <s v="SAMEA112328351"/>
    <x v="0"/>
    <x v="0"/>
    <s v="PRJEB58695"/>
    <n v="7.3487200000000001"/>
    <n v="3.8792900000000001"/>
    <s v="6896bc3fb321bd9560cb31c3"/>
    <s v="ERR10809418"/>
    <s v="v4.0.0"/>
    <s v="Acinetobacter baumannii"/>
    <n v="470"/>
    <s v="Acinetobacter baumannii"/>
    <n v="470"/>
    <s v="Acinetobacter"/>
    <n v="469"/>
    <s v="Acinetobacter"/>
    <s v="NZ_BKDD01000001.1"/>
    <s v="779/1000"/>
    <n v="0"/>
    <n v="6.3165900000000004E-3"/>
    <s v="pleural aspirat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9"/>
  </r>
  <r>
    <x v="46"/>
    <s v="SAMEA112328297"/>
    <x v="0"/>
    <x v="0"/>
    <s v="PRJEB58695"/>
    <n v="7.3487200000000001"/>
    <n v="3.8792900000000001"/>
    <s v="6896bc3fb321bd0c94cb31c4"/>
    <s v="ERR10812834"/>
    <s v="v4.0.0"/>
    <s v="Acinetobacter baumannii"/>
    <n v="470"/>
    <s v="Acinetobacter baumannii"/>
    <n v="470"/>
    <s v="Acinetobacter"/>
    <n v="469"/>
    <s v="Acinetobacter"/>
    <s v="NZ_VNWQ01000001.1"/>
    <s v="762/1000"/>
    <n v="0"/>
    <n v="6.91005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8"/>
  </r>
  <r>
    <x v="47"/>
    <s v="SAMEA112328304"/>
    <x v="0"/>
    <x v="1"/>
    <s v="PRJEB58695"/>
    <n v="7.3487200000000001"/>
    <n v="3.8792900000000001"/>
    <s v="6896bc3fb321bdfd30cb31c5"/>
    <s v="ERR10812835"/>
    <s v="v4.0.0"/>
    <s v="Acinetobacter baumannii"/>
    <n v="470"/>
    <s v="Acinetobacter baumannii"/>
    <n v="470"/>
    <s v="Acinetobacter"/>
    <n v="469"/>
    <s v="Acinetobacter"/>
    <s v="NZ_CP021345.1"/>
    <s v="962/1000"/>
    <n v="0"/>
    <n v="9.3133400000000002E-4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"/>
  </r>
  <r>
    <x v="48"/>
    <s v="SAMEA112328308"/>
    <x v="0"/>
    <x v="1"/>
    <s v="PRJEB58695"/>
    <n v="7.3487200000000001"/>
    <n v="3.8792900000000001"/>
    <s v="6896bc3fb321bd6687cb31c6"/>
    <s v="ERR10812836"/>
    <s v="v4.0.0"/>
    <s v="Acinetobacter baumannii"/>
    <n v="470"/>
    <s v="Acinetobacter baumannii"/>
    <n v="470"/>
    <s v="Acinetobacter"/>
    <n v="469"/>
    <s v="Acinetobacter"/>
    <s v="NZ_CP021345.1"/>
    <s v="958/1000"/>
    <n v="0"/>
    <n v="1.0325600000000001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0"/>
  </r>
  <r>
    <x v="49"/>
    <s v="SAMEA112328314"/>
    <x v="0"/>
    <x v="1"/>
    <s v="PRJEB58695"/>
    <n v="7.3487200000000001"/>
    <n v="3.8792900000000001"/>
    <s v="6896bc3fb321bd206bcb31c7"/>
    <s v="ERR10812837"/>
    <s v="v4.0.0"/>
    <s v="Acinetobacter baumannii"/>
    <n v="470"/>
    <s v="Acinetobacter baumannii"/>
    <n v="470"/>
    <s v="Acinetobacter"/>
    <n v="469"/>
    <s v="Acinetobacter"/>
    <s v="NZ_KK211418.1"/>
    <s v="856/1000"/>
    <n v="0"/>
    <n v="3.84578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50"/>
    <s v="SAMEA112328315"/>
    <x v="0"/>
    <x v="1"/>
    <s v="PRJEB58695"/>
    <n v="7.3487200000000001"/>
    <n v="3.8792900000000001"/>
    <s v="6896bc3fb321bdb15ecb31c8"/>
    <s v="ERR10812838"/>
    <s v="v4.0.0"/>
    <s v="Acinetobacter baumannii"/>
    <n v="470"/>
    <s v="Acinetobacter baumannii"/>
    <n v="470"/>
    <s v="Acinetobacter"/>
    <n v="469"/>
    <s v="Acinetobacter"/>
    <s v="NZ_CP018677.1"/>
    <s v="865/1000"/>
    <n v="0"/>
    <n v="3.57808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51"/>
    <s v="SAMEA112328323"/>
    <x v="0"/>
    <x v="0"/>
    <s v="PRJEB58695"/>
    <n v="7.3487200000000001"/>
    <n v="3.8792900000000001"/>
    <s v="6896bc3fb321bd6779cb31c9"/>
    <s v="ERR10812839"/>
    <s v="v4.0.0"/>
    <s v="Acinetobacter baumannii"/>
    <n v="470"/>
    <s v="Acinetobacter baumannii"/>
    <n v="470"/>
    <s v="Acinetobacter"/>
    <n v="469"/>
    <s v="Acinetobacter"/>
    <s v="NZ_WWCH01000001.1"/>
    <s v="916/1000"/>
    <n v="0"/>
    <n v="2.13482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x v="6"/>
  </r>
  <r>
    <x v="52"/>
    <s v="SAMEA112328328"/>
    <x v="0"/>
    <x v="0"/>
    <s v="PRJEB58695"/>
    <n v="7.3487200000000001"/>
    <n v="3.8792900000000001"/>
    <s v="6896bc3fb321bd33e5cb31ca"/>
    <s v="ERR10812840"/>
    <s v="v4.0.0"/>
    <s v="Acinetobacter baumannii"/>
    <n v="470"/>
    <s v="Acinetobacter baumannii"/>
    <n v="470"/>
    <s v="Acinetobacter"/>
    <n v="469"/>
    <s v="Acinetobacter"/>
    <s v="NZ_UFIQ01000049.1"/>
    <s v="894/1000"/>
    <n v="0"/>
    <n v="2.74253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53"/>
    <s v="SAMEA112328331"/>
    <x v="0"/>
    <x v="0"/>
    <s v="PRJEB58695"/>
    <n v="7.3487200000000001"/>
    <n v="3.8792900000000001"/>
    <s v="6896bc3fb321bde51dcb31cb"/>
    <s v="ERR10812841"/>
    <s v="v4.0.0"/>
    <s v="Acinetobacter baumannii"/>
    <n v="470"/>
    <s v="Acinetobacter baumannii"/>
    <n v="470"/>
    <s v="Acinetobacter"/>
    <n v="469"/>
    <s v="Acinetobacter"/>
    <s v="NZ_UFJT01000029.1"/>
    <s v="491/1000"/>
    <n v="0"/>
    <n v="1.98862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x v="2"/>
  </r>
  <r>
    <x v="54"/>
    <s v="SAMEA112328339"/>
    <x v="0"/>
    <x v="1"/>
    <s v="PRJEB58695"/>
    <n v="7.3487200000000001"/>
    <n v="3.8792900000000001"/>
    <s v="6896bc3fb321bde749cb31cc"/>
    <s v="ERR10812867"/>
    <s v="v4.0.0"/>
    <s v="Acinetobacter baumannii"/>
    <n v="470"/>
    <s v="Acinetobacter baumannii"/>
    <n v="470"/>
    <s v="Acinetobacter"/>
    <n v="469"/>
    <s v="Acinetobacter"/>
    <s v="NZ_AFCZ02000003.1"/>
    <s v="935/1000"/>
    <n v="0"/>
    <n v="1.6270900000000001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13"/>
  </r>
  <r>
    <x v="55"/>
    <s v="SAMEA112328349"/>
    <x v="0"/>
    <x v="1"/>
    <s v="PRJEB58695"/>
    <n v="7.3487200000000001"/>
    <n v="3.8792900000000001"/>
    <s v="6896bc3fb321bd6a8bcb31cd"/>
    <s v="ERR10812868"/>
    <s v="v4.0.0"/>
    <s v="Acinetobacter baumannii"/>
    <n v="470"/>
    <s v="Acinetobacter baumannii"/>
    <n v="470"/>
    <s v="Acinetobacter"/>
    <n v="469"/>
    <s v="Acinetobacter"/>
    <s v="NZ_QCXT01000001.1"/>
    <s v="556/1000"/>
    <n v="0"/>
    <n v="1.5997999999999998E-2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x v="9"/>
  </r>
  <r>
    <x v="56"/>
    <s v="SAMEA112328358"/>
    <x v="0"/>
    <x v="0"/>
    <s v="PRJEB58695"/>
    <n v="7.3487200000000001"/>
    <n v="3.8792900000000001"/>
    <s v="6896bc3fb321bd58cecb31ce"/>
    <s v="ERR10812869"/>
    <s v="v4.0.0"/>
    <s v="Acinetobacter baumannii"/>
    <n v="470"/>
    <s v="Acinetobacter baumannii"/>
    <n v="470"/>
    <s v="Acinetobacter"/>
    <n v="469"/>
    <s v="Acinetobacter"/>
    <s v="NZ_NGCF01000068.1"/>
    <s v="786/1000"/>
    <n v="0"/>
    <n v="6.0776099999999998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57"/>
    <s v="SAMEA112328361"/>
    <x v="0"/>
    <x v="0"/>
    <s v="PRJEB58695"/>
    <n v="7.3487200000000001"/>
    <n v="3.8792900000000001"/>
    <s v="6896bc3fb321bd37b2cb31cf"/>
    <s v="ERR10812870"/>
    <s v="v4.0.0"/>
    <s v="Acinetobacter baumannii"/>
    <n v="470"/>
    <s v="Acinetobacter baumannii"/>
    <n v="470"/>
    <s v="Acinetobacter"/>
    <n v="469"/>
    <s v="Acinetobacter"/>
    <s v="NZ_NGHR01000009.1"/>
    <s v="809/1000"/>
    <n v="0"/>
    <n v="5.31348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58"/>
    <s v="SAMEA112328385"/>
    <x v="0"/>
    <x v="0"/>
    <s v="PRJEB58695"/>
    <n v="7.3487200000000001"/>
    <n v="3.8792900000000001"/>
    <s v="6896bc3fb321bd49b8cb31d0"/>
    <s v="ERR10812871"/>
    <s v="v4.0.0"/>
    <s v="Acinetobacter baumannii"/>
    <n v="470"/>
    <s v="Acinetobacter baumannii"/>
    <n v="470"/>
    <s v="Acinetobacter"/>
    <n v="469"/>
    <s v="Acinetobacter"/>
    <s v="NZ_NIWP01000085.1"/>
    <s v="889/1000"/>
    <n v="0"/>
    <n v="2.88374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0"/>
  </r>
  <r>
    <x v="59"/>
    <s v="SAMEA112328412"/>
    <x v="0"/>
    <x v="0"/>
    <s v="PRJEB58695"/>
    <n v="7.3487200000000001"/>
    <n v="3.8792900000000001"/>
    <s v="6896bc3fb321bda123cb31d1"/>
    <s v="ERR10812872"/>
    <s v="v4.0.0"/>
    <s v="Acinetobacter baumannii"/>
    <n v="470"/>
    <s v="Acinetobacter baumannii"/>
    <n v="470"/>
    <s v="Acinetobacter"/>
    <n v="469"/>
    <s v="Acinetobacter"/>
    <s v="NZ_MSPL01000001.1"/>
    <s v="532/1000"/>
    <n v="0"/>
    <n v="1.7358999999999999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2"/>
  </r>
  <r>
    <x v="60"/>
    <s v="SAMEA112328415"/>
    <x v="0"/>
    <x v="0"/>
    <s v="PRJEB58695"/>
    <n v="7.3487200000000001"/>
    <n v="3.8792900000000001"/>
    <s v="6896bc3fb321bd4145cb31d2"/>
    <s v="ERR10812873"/>
    <s v="v4.0.0"/>
    <s v="Acinetobacter baumannii"/>
    <n v="470"/>
    <s v="Acinetobacter baumannii"/>
    <n v="470"/>
    <s v="Acinetobacter"/>
    <n v="469"/>
    <s v="Acinetobacter"/>
    <s v="NZ_ANND01000001.1"/>
    <s v="559/1000"/>
    <n v="0"/>
    <n v="1.58335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x v="2"/>
  </r>
  <r>
    <x v="61"/>
    <s v="SAMEA112328306"/>
    <x v="0"/>
    <x v="1"/>
    <s v="PRJEB58695"/>
    <n v="7.3487200000000001"/>
    <n v="3.8792900000000001"/>
    <s v="6896bc3fb321bd04c1cb31d3"/>
    <s v="ERR10820997"/>
    <s v="v4.0.0"/>
    <s v="Acinetobacter baumannii"/>
    <n v="470"/>
    <s v="Acinetobacter baumannii"/>
    <n v="470"/>
    <s v="Acinetobacter"/>
    <n v="469"/>
    <s v="Acinetobacter"/>
    <s v="NZ_AFCZ02000003.1"/>
    <s v="931/1000"/>
    <n v="0"/>
    <n v="1.7327099999999999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3"/>
  </r>
  <r>
    <x v="62"/>
    <s v="SAMEA112328299"/>
    <x v="0"/>
    <x v="0"/>
    <s v="PRJEB58695"/>
    <n v="7.3487200000000001"/>
    <n v="3.8792900000000001"/>
    <s v="6896bc3fb321bd6d7dcb31d4"/>
    <s v="ERR10852925"/>
    <s v="v4.0.0"/>
    <s v="Acinetobacter baumannii"/>
    <n v="470"/>
    <s v="Acinetobacter baumannii"/>
    <n v="470"/>
    <s v="Acinetobacter"/>
    <n v="469"/>
    <s v="Acinetobacter"/>
    <s v="NZ_RHYF01000100.1"/>
    <s v="567/1000"/>
    <n v="0"/>
    <n v="1.54006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63"/>
    <s v="SAMEA112328300"/>
    <x v="0"/>
    <x v="0"/>
    <s v="PRJEB58695"/>
    <n v="7.3487200000000001"/>
    <n v="3.8792900000000001"/>
    <s v="6896bc3fb321bd9b8fcb31d5"/>
    <s v="ERR10852926"/>
    <s v="v4.0.0"/>
    <s v="Acinetobacter baumannii"/>
    <n v="470"/>
    <s v="Acinetobacter baumannii"/>
    <n v="470"/>
    <s v="Acinetobacter"/>
    <n v="469"/>
    <s v="Acinetobacter"/>
    <s v="NZ_UFJT01000029.1"/>
    <s v="491/1000"/>
    <n v="0"/>
    <n v="1.98862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x v="2"/>
  </r>
  <r>
    <x v="64"/>
    <s v="SAMEA112328302"/>
    <x v="0"/>
    <x v="1"/>
    <s v="PRJEB58695"/>
    <n v="7.3487200000000001"/>
    <n v="3.8792900000000001"/>
    <s v="6896bc3fb321bd310acb31d6"/>
    <s v="ERR10852929"/>
    <s v="v4.0.0"/>
    <s v="Acinetobacter baumannii"/>
    <n v="470"/>
    <s v="Acinetobacter baumannii"/>
    <n v="470"/>
    <s v="Acinetobacter"/>
    <n v="469"/>
    <s v="Acinetobacter"/>
    <s v="NZ_AVST01000001.1"/>
    <s v="893/1000"/>
    <n v="0"/>
    <n v="2.77069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14"/>
  </r>
  <r>
    <x v="65"/>
    <s v="SAMEA112328313"/>
    <x v="0"/>
    <x v="1"/>
    <s v="PRJEB58695"/>
    <n v="7.3487200000000001"/>
    <n v="3.8792900000000001"/>
    <s v="6896bc3fb321bd846acb31d7"/>
    <s v="ERR10852931"/>
    <s v="v4.0.0"/>
    <s v="Acinetobacter baumannii"/>
    <n v="470"/>
    <s v="Acinetobacter baumannii"/>
    <n v="470"/>
    <s v="Acinetobacter"/>
    <n v="469"/>
    <s v="Acinetobacter"/>
    <s v="NZ_KK211418.1"/>
    <s v="849/1000"/>
    <n v="0"/>
    <n v="4.0568499999999999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x v="21"/>
  </r>
  <r>
    <x v="66"/>
    <s v="SAMEA112328320"/>
    <x v="0"/>
    <x v="0"/>
    <s v="PRJEB58695"/>
    <n v="7.3487200000000001"/>
    <n v="3.8792900000000001"/>
    <s v="6896bc3fb321bd31bccb31d8"/>
    <s v="ERR10852932"/>
    <s v="v4.0.0"/>
    <s v="Acinetobacter baumannii"/>
    <n v="470"/>
    <s v="Acinetobacter baumannii"/>
    <n v="470"/>
    <s v="Acinetobacter"/>
    <n v="469"/>
    <s v="Acinetobacter"/>
    <s v="NZ_NGDS01000139.1"/>
    <s v="732/1000"/>
    <n v="0"/>
    <n v="8.004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1"/>
  </r>
  <r>
    <x v="67"/>
    <s v="SAMEA112328324"/>
    <x v="0"/>
    <x v="0"/>
    <s v="PRJEB58695"/>
    <n v="7.3487200000000001"/>
    <n v="3.8792900000000001"/>
    <s v="6896bc3fb321bd12c3cb31d9"/>
    <s v="ERR10852933"/>
    <s v="v4.0.0"/>
    <s v="Acinetobacter baumannii"/>
    <n v="470"/>
    <s v="Acinetobacter baumannii"/>
    <n v="470"/>
    <s v="Acinetobacter"/>
    <n v="469"/>
    <s v="Acinetobacter"/>
    <s v="NZ_NXGU01000001.1"/>
    <s v="976/1000"/>
    <n v="0"/>
    <n v="5.8191000000000004E-4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68"/>
    <s v="SAMEA112328329"/>
    <x v="0"/>
    <x v="0"/>
    <s v="PRJEB58695"/>
    <n v="7.3487200000000001"/>
    <n v="3.8792900000000001"/>
    <s v="6896bc3fb321bd216fcb31da"/>
    <s v="ERR10852935"/>
    <s v="v4.0.0"/>
    <s v="Acinetobacter baumannii"/>
    <n v="470"/>
    <s v="Acinetobacter baumannii"/>
    <n v="470"/>
    <s v="Acinetobacter"/>
    <n v="469"/>
    <s v="Acinetobacter"/>
    <s v="NZ_MSPL01000001.1"/>
    <s v="533/1000"/>
    <n v="0"/>
    <n v="1.7300599999999999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2"/>
  </r>
  <r>
    <x v="69"/>
    <s v="SAMEA112328334"/>
    <x v="0"/>
    <x v="1"/>
    <s v="PRJEB58695"/>
    <n v="7.3487200000000001"/>
    <n v="3.8792900000000001"/>
    <s v="6896bc3fb321bddba7cb31db"/>
    <s v="ERR10852936"/>
    <s v="v4.0.0"/>
    <s v="Acinetobacter baumannii"/>
    <n v="470"/>
    <s v="Acinetobacter baumannii"/>
    <n v="470"/>
    <s v="Acinetobacter"/>
    <n v="469"/>
    <s v="Acinetobacter"/>
    <s v="NZ_CP021345.1"/>
    <s v="948/1000"/>
    <n v="0"/>
    <n v="1.2884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0"/>
  </r>
  <r>
    <x v="70"/>
    <s v="SAMEA112328336"/>
    <x v="0"/>
    <x v="1"/>
    <s v="PRJEB58695"/>
    <n v="7.3487200000000001"/>
    <n v="3.8792900000000001"/>
    <s v="6896bc3fb321bd126ccb31dc"/>
    <s v="ERR10852938"/>
    <s v="v4.0.0"/>
    <s v="Acinetobacter baumannii"/>
    <n v="470"/>
    <s v="Acinetobacter baumannii"/>
    <n v="470"/>
    <s v="Acinetobacter"/>
    <n v="469"/>
    <s v="Acinetobacter"/>
    <s v="NZ_KK211418.1"/>
    <s v="842/1000"/>
    <n v="0"/>
    <n v="4.27048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x v="21"/>
  </r>
  <r>
    <x v="71"/>
    <s v="SAMEA112328337"/>
    <x v="0"/>
    <x v="1"/>
    <s v="PRJEB58695"/>
    <n v="7.3487200000000001"/>
    <n v="3.8792900000000001"/>
    <s v="6896bc3fb321bd8639cb31dd"/>
    <s v="ERR10852993"/>
    <s v="v4.0.0"/>
    <s v="Acinetobacter baumannii"/>
    <n v="470"/>
    <s v="Acinetobacter baumannii"/>
    <n v="470"/>
    <s v="Acinetobacter"/>
    <n v="469"/>
    <s v="Acinetobacter"/>
    <s v="NZ_KK211418.1"/>
    <s v="863/1000"/>
    <n v="0"/>
    <n v="3.63721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x v="21"/>
  </r>
  <r>
    <x v="72"/>
    <s v="SAMEA112328344"/>
    <x v="0"/>
    <x v="1"/>
    <s v="PRJEB58695"/>
    <n v="7.3487200000000001"/>
    <n v="3.8792900000000001"/>
    <s v="6896bc3fb321bde197cb31de"/>
    <s v="ERR10852995"/>
    <s v="v4.0.0"/>
    <s v="Acinetobacter baumannii"/>
    <n v="470"/>
    <s v="Acinetobacter baumannii"/>
    <n v="470"/>
    <s v="Acinetobacter"/>
    <n v="469"/>
    <s v="Acinetobacter"/>
    <s v="NZ_CVLD01000001.1"/>
    <s v="960/1000"/>
    <n v="0"/>
    <n v="9.8187100000000005E-4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73"/>
    <s v="SAMEA112328352"/>
    <x v="0"/>
    <x v="0"/>
    <s v="PRJEB58695"/>
    <n v="7.3487200000000001"/>
    <n v="3.8792900000000001"/>
    <s v="6896bc3fb321bd222dcb31df"/>
    <s v="ERR10852996"/>
    <s v="v4.0.0"/>
    <s v="Acinetobacter baumannii"/>
    <n v="470"/>
    <s v="Acinetobacter baumannii"/>
    <n v="470"/>
    <s v="Acinetobacter"/>
    <n v="469"/>
    <s v="Acinetobacter"/>
    <s v="NZ_JMOD01000001.1"/>
    <s v="725/1000"/>
    <n v="0"/>
    <n v="8.26968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3"/>
  </r>
  <r>
    <x v="74"/>
    <s v="SAMEA112328353"/>
    <x v="0"/>
    <x v="0"/>
    <s v="PRJEB58695"/>
    <n v="7.3487200000000001"/>
    <n v="3.8792900000000001"/>
    <s v="6896bc3fb321bd3f22cb31e0"/>
    <s v="ERR10853648"/>
    <s v="v4.0.0"/>
    <s v="Acinetobacter baumannii"/>
    <n v="470"/>
    <s v="Acinetobacter baumannii"/>
    <n v="470"/>
    <s v="Acinetobacter"/>
    <n v="469"/>
    <s v="Acinetobacter"/>
    <s v="NZ_JAAGTI010000001.1"/>
    <s v="732/1000"/>
    <n v="0"/>
    <n v="8.004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4"/>
  </r>
  <r>
    <x v="75"/>
    <s v="SAMEA112328355"/>
    <x v="0"/>
    <x v="0"/>
    <s v="PRJEB58695"/>
    <n v="7.3487200000000001"/>
    <n v="3.8792900000000001"/>
    <s v="6896bc3fb321bd7629cb31e1"/>
    <s v="ERR10854234"/>
    <s v="v4.0.0"/>
    <s v="Acinetobacter baumannii"/>
    <n v="470"/>
    <s v="Acinetobacter baumannii"/>
    <n v="470"/>
    <s v="Acinetobacter"/>
    <n v="469"/>
    <s v="Acinetobacter"/>
    <s v="NZ_JMOD01000001.1"/>
    <s v="788/1000"/>
    <n v="0"/>
    <n v="6.0098900000000004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76"/>
    <s v="SAMEA112328356"/>
    <x v="0"/>
    <x v="0"/>
    <s v="PRJEB58695"/>
    <n v="7.3487200000000001"/>
    <n v="3.8792900000000001"/>
    <s v="6896bc3fb321bd17a1cb31e2"/>
    <s v="ERR10854472"/>
    <s v="v4.0.0"/>
    <s v="Acinetobacter baumannii"/>
    <n v="470"/>
    <s v="Acinetobacter baumannii"/>
    <n v="470"/>
    <s v="Acinetobacter"/>
    <n v="469"/>
    <s v="Acinetobacter"/>
    <s v="NZ_NGHR01000009.1"/>
    <s v="804/1000"/>
    <n v="0"/>
    <n v="5.47691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77"/>
    <s v="SAMEA112328357"/>
    <x v="0"/>
    <x v="0"/>
    <s v="PRJEB58695"/>
    <n v="7.3487200000000001"/>
    <n v="3.8792900000000001"/>
    <s v="6896bc3fb321bd7e2acb31e3"/>
    <s v="ERR10854473"/>
    <s v="v4.0.0"/>
    <s v="Acinetobacter baumannii"/>
    <n v="470"/>
    <s v="Acinetobacter baumannii"/>
    <n v="470"/>
    <s v="Acinetobacter"/>
    <n v="469"/>
    <s v="Acinetobacter"/>
    <s v="NZ_NGHR01000009.1"/>
    <s v="804/1000"/>
    <n v="0"/>
    <n v="5.47691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78"/>
    <s v="SAMEA112328359"/>
    <x v="0"/>
    <x v="0"/>
    <s v="PRJEB58695"/>
    <n v="7.3487200000000001"/>
    <n v="3.8792900000000001"/>
    <s v="6896bc3fb321bd1536cb31e4"/>
    <s v="ERR10854474"/>
    <s v="v4.0.0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79"/>
    <s v="SAMEA112328362"/>
    <x v="0"/>
    <x v="0"/>
    <s v="PRJEB58695"/>
    <n v="7.3487200000000001"/>
    <n v="3.8792900000000001"/>
    <s v="6896bc3fb321bd3f12cb31e5"/>
    <s v="ERR10854475"/>
    <s v="v4.0.0"/>
    <s v="Acinetobacter baumannii"/>
    <n v="470"/>
    <s v="Acinetobacter baumannii"/>
    <n v="470"/>
    <s v="Acinetobacter"/>
    <n v="469"/>
    <s v="Acinetobacter"/>
    <s v="NZ_VHFN01000001.1"/>
    <s v="943/1000"/>
    <n v="0"/>
    <n v="1.41786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3"/>
  </r>
  <r>
    <x v="80"/>
    <s v="SAMEA112328387"/>
    <x v="0"/>
    <x v="0"/>
    <s v="PRJEB58695"/>
    <n v="7.3487200000000001"/>
    <n v="3.8792900000000001"/>
    <s v="6896bc3fb321bdf7aacb31e6"/>
    <s v="ERR10854476"/>
    <s v="v4.0.0"/>
    <s v="Acinetobacter baumannii"/>
    <n v="470"/>
    <s v="Acinetobacter baumannii"/>
    <n v="470"/>
    <s v="Acinetobacter"/>
    <n v="469"/>
    <s v="Acinetobacter"/>
    <s v="NZ_UFKC01000171.1"/>
    <s v="877/1000"/>
    <n v="0"/>
    <n v="3.22741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5"/>
  </r>
  <r>
    <x v="81"/>
    <s v="SAMEA112328388"/>
    <x v="0"/>
    <x v="0"/>
    <s v="PRJEB58695"/>
    <n v="7.3487200000000001"/>
    <n v="3.8792900000000001"/>
    <s v="6896bc3fb321bd267ecb31e7"/>
    <s v="ERR10854480"/>
    <s v="v4.0.0"/>
    <s v="Acinetobacter baumannii"/>
    <n v="470"/>
    <s v="Acinetobacter baumannii"/>
    <n v="470"/>
    <s v="Acinetobacter"/>
    <n v="469"/>
    <s v="Acinetobacter"/>
    <s v="NZ_AFCZ02000003.1"/>
    <s v="950/1000"/>
    <n v="0"/>
    <n v="1.23693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3"/>
  </r>
  <r>
    <x v="82"/>
    <s v="SAMEA112328409"/>
    <x v="0"/>
    <x v="0"/>
    <s v="PRJEB58695"/>
    <n v="7.3487200000000001"/>
    <n v="3.8792900000000001"/>
    <s v="6896bc3fb321bd42e8cb31e8"/>
    <s v="ERR10854483"/>
    <s v="v4.0.0"/>
    <s v="Acinetobacter baumannii"/>
    <n v="470"/>
    <s v="Acinetobacter baumannii"/>
    <n v="470"/>
    <s v="Acinetobacter"/>
    <n v="469"/>
    <s v="Acinetobacter"/>
    <s v="NZ_AFCZ02000003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13"/>
  </r>
  <r>
    <x v="83"/>
    <s v="SAMEA112328414"/>
    <x v="0"/>
    <x v="0"/>
    <s v="PRJEB58695"/>
    <n v="7.3487200000000001"/>
    <n v="3.8792900000000001"/>
    <s v="6896bc3fb321bddcb0cb31e9"/>
    <s v="ERR10854484"/>
    <s v="v4.0.0"/>
    <s v="Acinetobacter baumannii"/>
    <n v="470"/>
    <s v="Acinetobacter baumannii"/>
    <n v="470"/>
    <s v="Acinetobacter"/>
    <n v="469"/>
    <s v="Acinetobacter"/>
    <s v="NZ_ANND01000001.1"/>
    <s v="555/1000"/>
    <n v="0"/>
    <n v="1.6053100000000001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x v="9"/>
  </r>
  <r>
    <x v="84"/>
    <s v="SAMEA5987517"/>
    <x v="2"/>
    <x v="2"/>
    <s v="PRJEB34692"/>
    <n v="-33.913809999999998"/>
    <n v="18.614446999999998"/>
    <s v="6899ac4e7ea258ec80965170"/>
    <s v="ERR3569448"/>
    <s v="v4.0.0"/>
    <s v="Acinetobacter baumannii"/>
    <n v="470"/>
    <s v="Acinetobacter baumannii"/>
    <n v="470"/>
    <s v="Acinetobacter"/>
    <n v="469"/>
    <s v="Acinetobacter"/>
    <s v="NZ_CACRXQ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x v="1"/>
  </r>
  <r>
    <x v="85"/>
    <s v="SAMEA5987518"/>
    <x v="2"/>
    <x v="2"/>
    <s v="PRJEB34692"/>
    <n v="-33.913809999999998"/>
    <n v="18.614446999999998"/>
    <s v="6899ac4e7ea2588193965171"/>
    <s v="ERR3569449"/>
    <s v="v4.0.0"/>
    <s v="Acinetobacter baumannii"/>
    <n v="470"/>
    <s v="Acinetobacter baumannii"/>
    <n v="470"/>
    <s v="Acinetobacter"/>
    <n v="469"/>
    <s v="Acinetobacter"/>
    <s v="NZ_CACRYG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x v="1"/>
  </r>
  <r>
    <x v="86"/>
    <s v="SAMEA5987519"/>
    <x v="2"/>
    <x v="2"/>
    <s v="PRJEB34692"/>
    <n v="-33.913809999999998"/>
    <n v="18.614446999999998"/>
    <s v="6899ac4e7ea2580aef965172"/>
    <s v="ERR3569450"/>
    <s v="v4.0.0"/>
    <s v="Acinetobacter baumannii"/>
    <n v="470"/>
    <s v="Acinetobacter baumannii"/>
    <n v="470"/>
    <s v="Acinetobacter"/>
    <n v="469"/>
    <s v="Acinetobacter"/>
    <s v="NZ_CACRXQ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x v="1"/>
  </r>
  <r>
    <x v="87"/>
    <s v="SAMEA5987520"/>
    <x v="2"/>
    <x v="2"/>
    <s v="PRJEB34692"/>
    <n v="-33.913809999999998"/>
    <n v="18.614446999999998"/>
    <s v="6899ac4e7ea2580b04965173"/>
    <s v="ERR3569451"/>
    <s v="v4.0.0"/>
    <s v="Acinetobacter baumannii"/>
    <n v="470"/>
    <s v="Acinetobacter baumannii"/>
    <n v="470"/>
    <s v="Acinetobacter"/>
    <n v="469"/>
    <s v="Acinetobacter"/>
    <s v="NZ_CACRXQ010000001.1"/>
    <s v="999/1000"/>
    <n v="0"/>
    <s v="2.38274e-05"/>
    <s v="clinical material"/>
    <s v="Human"/>
    <m/>
    <s v="Colistin resistant Acinetobacter baumannii in Cape Town, South Africa"/>
    <s v="Universitaetsklinikum Freiburg"/>
    <s v="Cape Town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x v="1"/>
  </r>
  <r>
    <x v="88"/>
    <s v="SAMEA7171649"/>
    <x v="1"/>
    <x v="3"/>
    <s v="PRJEB27899"/>
    <n v="32"/>
    <n v="-6"/>
    <s v="628e519e72c510001fef497c"/>
    <s v="ERR4436595"/>
    <s v="v3.0.1"/>
    <s v="Acinetobacter baumannii"/>
    <n v="470"/>
    <s v="Acinetobacter baumannii"/>
    <n v="470"/>
    <s v="Acinetobacter"/>
    <n v="469"/>
    <s v="Acinetobacter"/>
    <s v="NZ_VHEH01000001.1"/>
    <s v="918/1000"/>
    <n v="0"/>
    <n v="2.0806499999999999E-3"/>
    <m/>
    <s v="Human"/>
    <m/>
    <s v="Molecular epidemiology of carbapenem-resistant Acinetobacter baumanni"/>
    <s v="University of Cologne"/>
    <m/>
    <x v="3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x v="21"/>
  </r>
  <r>
    <x v="89"/>
    <s v="SAMEA7171650"/>
    <x v="1"/>
    <x v="3"/>
    <s v="PRJEB27899"/>
    <n v="32"/>
    <n v="-6"/>
    <s v="628e519e72c510001fef497e"/>
    <s v="ERR4436596"/>
    <s v="v3.0.1"/>
    <s v="Acinetobacter baumannii"/>
    <n v="470"/>
    <s v="Acinetobacter baumannii"/>
    <n v="470"/>
    <s v="Acinetobacter"/>
    <n v="469"/>
    <s v="Acinetobacter"/>
    <s v="NZ_VARI01000001.1"/>
    <s v="988/1000"/>
    <n v="0"/>
    <n v="2.8831000000000001E-4"/>
    <m/>
    <s v="Human"/>
    <m/>
    <s v="Molecular epidemiology of carbapenem-resistant Acinetobacter baumanni"/>
    <s v="University of Cologne"/>
    <m/>
    <x v="3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90"/>
    <s v="SAMEA7171651"/>
    <x v="1"/>
    <x v="3"/>
    <s v="PRJEB27899"/>
    <n v="32"/>
    <n v="-6"/>
    <s v="628e519e72c510001fef4980"/>
    <s v="ERR4436597"/>
    <s v="v3.0.1"/>
    <s v="Acinetobacter baumannii"/>
    <n v="470"/>
    <s v="Acinetobacter baumannii"/>
    <n v="470"/>
    <s v="Acinetobacter"/>
    <n v="469"/>
    <s v="Acinetobacter"/>
    <s v="NZ_VARJ01000001.1"/>
    <s v="986/1000"/>
    <n v="0"/>
    <n v="3.36872E-4"/>
    <m/>
    <s v="Human"/>
    <m/>
    <s v="Molecular epidemiology of carbapenem-resistant Acinetobacter baumanni"/>
    <s v="University of Cologne"/>
    <m/>
    <x v="3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91"/>
    <s v="SAMEA7171860"/>
    <x v="1"/>
    <x v="3"/>
    <s v="PRJEB27899"/>
    <n v="26"/>
    <n v="29"/>
    <s v="628e519e72c510001fef49d0"/>
    <s v="ERR4436754"/>
    <s v="v3.0.1"/>
    <s v="Acinetobacter baumannii"/>
    <n v="470"/>
    <s v="Acinetobacter baumannii"/>
    <n v="470"/>
    <s v="Acinetobacter"/>
    <n v="469"/>
    <s v="Acinetobacter"/>
    <s v="NZ_PRHX01000001.1"/>
    <s v="912/1000"/>
    <n v="0"/>
    <n v="2.2437099999999999E-3"/>
    <m/>
    <s v="Human"/>
    <m/>
    <s v="Molecular epidemiology of carbapenem-resistant Acinetobacter baumanni"/>
    <s v="University of Cologne"/>
    <m/>
    <x v="4"/>
    <n v="0"/>
    <n v="0"/>
    <n v="1"/>
    <n v="0"/>
    <n v="1"/>
    <n v="0"/>
    <n v="0"/>
    <n v="0"/>
    <n v="1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92"/>
    <s v="SAMEA6156068"/>
    <x v="1"/>
    <x v="3"/>
    <s v="PRJEB29739"/>
    <n v="9.0819989999999997"/>
    <n v="8.6752769999999995"/>
    <s v="6894910f9352c89517ecc1a0"/>
    <s v="ERR4783167"/>
    <s v="v4.0.0"/>
    <s v="Acinetobacter baumannii"/>
    <n v="470"/>
    <s v="Acinetobacter baumannii"/>
    <n v="470"/>
    <s v="Acinetobacter"/>
    <n v="469"/>
    <s v="Acinetobacter"/>
    <s v="NZ_RHXW01000010.1"/>
    <s v="506/1000"/>
    <n v="0"/>
    <n v="1.89299E-2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2"/>
  </r>
  <r>
    <x v="93"/>
    <s v="SAMEA6156072"/>
    <x v="1"/>
    <x v="3"/>
    <s v="PRJEB29739"/>
    <n v="9.0819989999999997"/>
    <n v="8.6752769999999995"/>
    <s v="6894910f9352c88ceaecc1a1"/>
    <s v="ERR4783172"/>
    <s v="v4.0.0"/>
    <s v="Acinetobacter baumannii"/>
    <n v="470"/>
    <s v="Acinetobacter baumannii"/>
    <n v="470"/>
    <s v="Acinetobacter"/>
    <n v="469"/>
    <s v="Acinetobacter"/>
    <s v="NZ_VHFG01000001.1"/>
    <s v="830/1000"/>
    <n v="0"/>
    <n v="4.6427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1"/>
    <n v="1"/>
    <n v="0"/>
    <n v="0"/>
    <n v="0"/>
    <n v="0"/>
    <x v="26"/>
  </r>
  <r>
    <x v="94"/>
    <s v="SAMEA6156074"/>
    <x v="1"/>
    <x v="3"/>
    <s v="PRJEB29739"/>
    <n v="9.0819989999999997"/>
    <n v="8.6752769999999995"/>
    <s v="6894910f9352c85fb2ecc123"/>
    <s v="ERR4783180"/>
    <s v="v4.0.0"/>
    <s v="Acinetobacter baumannii"/>
    <n v="470"/>
    <s v="Acinetobacter baumannii"/>
    <n v="470"/>
    <s v="Acinetobacter"/>
    <n v="469"/>
    <s v="Acinetobacter"/>
    <s v="NZ_MPCA01000001.1"/>
    <s v="973/1000"/>
    <n v="0"/>
    <n v="6.5615400000000005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95"/>
    <s v="SAMEA6156075"/>
    <x v="1"/>
    <x v="3"/>
    <s v="PRJEB29739"/>
    <n v="9.0819989999999997"/>
    <n v="8.6752769999999995"/>
    <s v="6894910f9352c8c9a6ecc124"/>
    <s v="ERR4783186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96"/>
    <s v="SAMEA6156082"/>
    <x v="1"/>
    <x v="3"/>
    <s v="PRJEB29739"/>
    <n v="9.0819989999999997"/>
    <n v="8.6752769999999995"/>
    <s v="6894910f9352c838b0ecc125"/>
    <s v="ERR4783188"/>
    <s v="v4.0.0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97"/>
    <s v="SAMEA6156081"/>
    <x v="1"/>
    <x v="3"/>
    <s v="PRJEB29739"/>
    <n v="9.0819989999999997"/>
    <n v="8.6752769999999995"/>
    <s v="6894910f9352c8cdcfecc126"/>
    <s v="ERR4783194"/>
    <s v="v4.0.0"/>
    <s v="Acinetobacter baumannii"/>
    <n v="470"/>
    <s v="Acinetobacter baumannii"/>
    <n v="470"/>
    <s v="Acinetobacter"/>
    <n v="469"/>
    <s v="Acinetobacter"/>
    <s v="NZ_NIWP01000085.1"/>
    <s v="926/1000"/>
    <n v="0"/>
    <n v="1.8656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0"/>
  </r>
  <r>
    <x v="98"/>
    <s v="SAMEA6156095"/>
    <x v="1"/>
    <x v="3"/>
    <s v="PRJEB29739"/>
    <n v="9.0819989999999997"/>
    <n v="8.6752769999999995"/>
    <s v="6894910f9352c86095ecc127"/>
    <s v="ERR4783195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99"/>
    <s v="SAMEA6156110"/>
    <x v="1"/>
    <x v="3"/>
    <s v="PRJEB29739"/>
    <n v="9.0819989999999997"/>
    <n v="8.6752769999999995"/>
    <s v="6894910f9352c86bc8ecc128"/>
    <s v="ERR4783200"/>
    <s v="v4.0.0"/>
    <s v="Acinetobacter baumannii"/>
    <n v="470"/>
    <s v="Acinetobacter baumannii"/>
    <n v="470"/>
    <s v="Acinetobacter"/>
    <n v="469"/>
    <s v="Acinetobacter"/>
    <s v="NZ_LN868200.1"/>
    <s v="915/1000"/>
    <n v="0"/>
    <n v="2.161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8"/>
  </r>
  <r>
    <x v="100"/>
    <s v="SAMEA6156097"/>
    <x v="1"/>
    <x v="3"/>
    <s v="PRJEB29739"/>
    <n v="9.0819989999999997"/>
    <n v="8.6752769999999995"/>
    <s v="6894910f9352c8165decc129"/>
    <s v="ERR4783203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01"/>
    <s v="SAMEA6156098"/>
    <x v="1"/>
    <x v="3"/>
    <s v="PRJEB29739"/>
    <n v="9.0819989999999997"/>
    <n v="8.6752769999999995"/>
    <s v="6894910f9352c8ebabecc12a"/>
    <s v="ERR4783208"/>
    <s v="v4.0.0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02"/>
    <s v="SAMEA6156099"/>
    <x v="1"/>
    <x v="3"/>
    <s v="PRJEB29739"/>
    <n v="9.0819989999999997"/>
    <n v="8.6752769999999995"/>
    <s v="6894910f9352c8621becc12b"/>
    <s v="ERR4783214"/>
    <s v="v4.0.0"/>
    <s v="Acinetobacter baumannii"/>
    <n v="470"/>
    <s v="Acinetobacter baumannii"/>
    <n v="470"/>
    <s v="Acinetobacter"/>
    <n v="469"/>
    <s v="Acinetobacter"/>
    <s v="NZ_CVLD01000001.1"/>
    <s v="974/1000"/>
    <n v="0"/>
    <n v="6.3136799999999999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03"/>
    <s v="SAMEA6156100"/>
    <x v="1"/>
    <x v="3"/>
    <s v="PRJEB29739"/>
    <n v="9.0819989999999997"/>
    <n v="8.6752769999999995"/>
    <s v="6894910f9352c8fc42ecc12c"/>
    <s v="ERR4783216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04"/>
    <s v="SAMEA6156102"/>
    <x v="1"/>
    <x v="3"/>
    <s v="PRJEB29739"/>
    <n v="9.0819989999999997"/>
    <n v="8.6752769999999995"/>
    <s v="6894910f9352c81fd5ecc12d"/>
    <s v="ERR4783222"/>
    <s v="v4.0.0"/>
    <s v="Acinetobacter baumannii"/>
    <n v="470"/>
    <s v="Acinetobacter baumannii"/>
    <n v="470"/>
    <s v="Acinetobacter"/>
    <n v="469"/>
    <s v="Acinetobacter"/>
    <s v="NZ_MPCA01000001.1"/>
    <s v="987/1000"/>
    <n v="0"/>
    <n v="3.1257300000000002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x v="27"/>
  </r>
  <r>
    <x v="105"/>
    <s v="SAMEA6156105"/>
    <x v="1"/>
    <x v="3"/>
    <s v="PRJEB29739"/>
    <n v="9.0819989999999997"/>
    <n v="8.6752769999999995"/>
    <s v="6894910f9352c80f0aecc12e"/>
    <s v="ERR4783223"/>
    <s v="v4.0.0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06"/>
    <s v="SAMEA6156107"/>
    <x v="1"/>
    <x v="3"/>
    <s v="PRJEB29739"/>
    <n v="9.0819989999999997"/>
    <n v="8.6752769999999995"/>
    <s v="6894910f9352c86573ecc12f"/>
    <s v="ERR4783228"/>
    <s v="v4.0.0"/>
    <s v="Acinetobacter baumannii"/>
    <n v="470"/>
    <s v="Acinetobacter baumannii"/>
    <n v="470"/>
    <s v="Acinetobacter"/>
    <n v="469"/>
    <s v="Acinetobacter"/>
    <s v="NZ_MPBX01000001.1"/>
    <s v="964/1000"/>
    <n v="0"/>
    <n v="8.8095299999999997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x v="27"/>
  </r>
  <r>
    <x v="107"/>
    <s v="SAMEA6156112"/>
    <x v="1"/>
    <x v="3"/>
    <s v="PRJEB29739"/>
    <n v="9.0819989999999997"/>
    <n v="8.6752769999999995"/>
    <s v="6894910f9352c8242cecc130"/>
    <s v="ERR4783231"/>
    <s v="v4.0.0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08"/>
    <s v="SAMEA6156083"/>
    <x v="1"/>
    <x v="3"/>
    <s v="PRJEB29739"/>
    <n v="9.0819989999999997"/>
    <n v="8.6752769999999995"/>
    <s v="6894910f9352c84976ecc131"/>
    <s v="ERR4783239"/>
    <s v="v4.0.0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09"/>
    <s v="SAMEA6156085"/>
    <x v="1"/>
    <x v="3"/>
    <s v="PRJEB29739"/>
    <n v="9.0819989999999997"/>
    <n v="8.6752769999999995"/>
    <s v="6894910f9352c85debecc132"/>
    <s v="ERR4783244"/>
    <s v="v4.0.0"/>
    <s v="Acinetobacter baumannii"/>
    <n v="470"/>
    <s v="Acinetobacter baumannii"/>
    <n v="470"/>
    <s v="Acinetobacter"/>
    <n v="469"/>
    <s v="Acinetobacter"/>
    <s v="NZ_NXGU01000001.1"/>
    <s v="974/1000"/>
    <n v="0"/>
    <n v="6.3136799999999999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110"/>
    <s v="SAMEA6156086"/>
    <x v="1"/>
    <x v="3"/>
    <s v="PRJEB29739"/>
    <n v="9.0819989999999997"/>
    <n v="8.6752769999999995"/>
    <s v="6894910f9352c865d3ecc133"/>
    <s v="ERR4783250"/>
    <s v="v4.0.0"/>
    <s v="Acinetobacter baumannii"/>
    <n v="470"/>
    <s v="Acinetobacter baumannii"/>
    <n v="470"/>
    <s v="Acinetobacter"/>
    <n v="469"/>
    <s v="Acinetobacter"/>
    <s v="NZ_SMUC01000100.1"/>
    <s v="967/1000"/>
    <n v="0"/>
    <n v="8.0567300000000002E-4"/>
    <m/>
    <m/>
    <m/>
    <s v="NIHR_Global_Health_Research_Unit_on_Genomic_Surveillance_of_Antimicrobial_Resistance"/>
    <s v="Wellcome Sanger Institute;SC"/>
    <m/>
    <x v="1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1"/>
    <n v="0"/>
    <n v="0"/>
    <x v="29"/>
  </r>
  <r>
    <x v="111"/>
    <s v="SAMEA6156089"/>
    <x v="1"/>
    <x v="3"/>
    <s v="PRJEB29739"/>
    <n v="9.0819989999999997"/>
    <n v="8.6752769999999995"/>
    <s v="6894910f9352c81e5fecc134"/>
    <s v="ERR4783252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12"/>
    <s v="SAMEA6156088"/>
    <x v="1"/>
    <x v="3"/>
    <s v="PRJEB29739"/>
    <n v="9.0819989999999997"/>
    <n v="8.6752769999999995"/>
    <s v="6894910f9352c83a2eecc135"/>
    <s v="ERR4783258"/>
    <s v="v4.0.0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13"/>
    <s v="SAMEA6156087"/>
    <x v="1"/>
    <x v="3"/>
    <s v="PRJEB29739"/>
    <n v="9.0819989999999997"/>
    <n v="8.6752769999999995"/>
    <s v="6894910f9352c8c2fcecc136"/>
    <s v="ERR4783259"/>
    <s v="v4.0.0"/>
    <s v="Acinetobacter baumannii"/>
    <n v="470"/>
    <s v="Acinetobacter baumannii"/>
    <n v="470"/>
    <s v="Acinetobacter"/>
    <n v="469"/>
    <s v="Acinetobacter"/>
    <s v="NZ_SMUC01000100.1"/>
    <s v="983/1000"/>
    <n v="0"/>
    <n v="4.0999199999999997E-4"/>
    <m/>
    <m/>
    <m/>
    <s v="NIHR_Global_Health_Research_Unit_on_Genomic_Surveillance_of_Antimicrobial_Resistance"/>
    <s v="Wellcome Sanger Institute;SC"/>
    <m/>
    <x v="1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x v="29"/>
  </r>
  <r>
    <x v="114"/>
    <s v="SAMEA6156109"/>
    <x v="1"/>
    <x v="3"/>
    <s v="PRJEB29739"/>
    <n v="9.0819989999999997"/>
    <n v="8.6752769999999995"/>
    <s v="6894910f9352c808a6ecc137"/>
    <s v="ERR4783264"/>
    <s v="v4.0.0"/>
    <s v="Acinetobacter baumannii"/>
    <n v="470"/>
    <s v="Acinetobacter baumannii"/>
    <n v="470"/>
    <s v="Acinetobacter"/>
    <n v="469"/>
    <s v="Acinetobacter"/>
    <s v="NZ_UFIQ01000049.1"/>
    <s v="924/1000"/>
    <n v="0"/>
    <n v="1.91916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x v="7"/>
  </r>
  <r>
    <x v="115"/>
    <s v="SAMEA6156069"/>
    <x v="1"/>
    <x v="3"/>
    <s v="PRJEB29739"/>
    <n v="9.0819989999999997"/>
    <n v="8.6752769999999995"/>
    <s v="6894910f9352c8e627ecc139"/>
    <s v="ERR4783385"/>
    <s v="v4.0.0"/>
    <s v="Acinetobacter baumannii"/>
    <n v="470"/>
    <s v="Acinetobacter baumannii"/>
    <n v="470"/>
    <s v="Acinetobacter"/>
    <n v="469"/>
    <s v="Acinetobacter"/>
    <s v="NZ_CVLD01000001.1"/>
    <s v="738/1000"/>
    <n v="0"/>
    <n v="7.7809200000000002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x v="2"/>
  </r>
  <r>
    <x v="116"/>
    <s v="SAMEA6156071"/>
    <x v="1"/>
    <x v="3"/>
    <s v="PRJEB29739"/>
    <n v="9.0819989999999997"/>
    <n v="8.6752769999999995"/>
    <s v="6894910f9352c8ff8cecc13a"/>
    <s v="ERR4783387"/>
    <s v="v4.0.0"/>
    <s v="Acinetobacter baumannii"/>
    <n v="470"/>
    <s v="Acinetobacter baumannii"/>
    <n v="470"/>
    <s v="Acinetobacter"/>
    <n v="469"/>
    <s v="Acinetobacter"/>
    <s v="NZ_MPCA01000001.1"/>
    <s v="981/1000"/>
    <n v="0"/>
    <n v="4.5892399999999999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17"/>
    <s v="SAMEA6156077"/>
    <x v="1"/>
    <x v="3"/>
    <s v="PRJEB29739"/>
    <n v="9.0819989999999997"/>
    <n v="8.6752769999999995"/>
    <s v="6894910f9352c8051decc13c"/>
    <s v="ERR4783391"/>
    <s v="v4.0.0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18"/>
    <s v="SAMEA6156108"/>
    <x v="1"/>
    <x v="3"/>
    <s v="PRJEB29739"/>
    <n v="9.0819989999999997"/>
    <n v="8.6752769999999995"/>
    <s v="6894910f9352c82552ecc13d"/>
    <s v="ERR4783394"/>
    <s v="v4.0.0"/>
    <s v="Acinetobacter baumannii"/>
    <n v="470"/>
    <s v="Acinetobacter baumannii"/>
    <n v="470"/>
    <s v="Acinetobacter"/>
    <n v="469"/>
    <s v="Acinetobacter"/>
    <s v="NZ_MPCA01000001.1"/>
    <s v="692/1000"/>
    <n v="0"/>
    <n v="9.5682600000000003E-3"/>
    <m/>
    <m/>
    <m/>
    <s v="NIHR_Global_Health_Research_Unit_on_Genomic_Surveillance_of_Antimicrobial_Resistance"/>
    <s v="Wellcome Sanger Institute;SC"/>
    <m/>
    <x v="1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1"/>
    <n v="1"/>
    <n v="0"/>
    <n v="0"/>
    <n v="0"/>
    <n v="0"/>
    <x v="2"/>
  </r>
  <r>
    <x v="119"/>
    <s v="SAMEA6156096"/>
    <x v="1"/>
    <x v="3"/>
    <s v="PRJEB29739"/>
    <n v="9.0819989999999997"/>
    <n v="8.6752769999999995"/>
    <s v="6894910f9352c8c590ecc13f"/>
    <s v="ERR4783401"/>
    <s v="v4.0.0"/>
    <s v="Acinetobacter baumannii"/>
    <n v="470"/>
    <s v="Acinetobacter baumannii"/>
    <n v="470"/>
    <s v="Acinetobacter"/>
    <n v="469"/>
    <s v="Acinetobacter"/>
    <s v="NZ_MPCA01000001.1"/>
    <s v="967/1000"/>
    <n v="0"/>
    <n v="8.0567300000000002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20"/>
    <s v="SAMEA6156084"/>
    <x v="1"/>
    <x v="3"/>
    <s v="PRJEB29739"/>
    <n v="9.0819989999999997"/>
    <n v="8.6752769999999995"/>
    <s v="6894910f9352c8170decc141"/>
    <s v="ERR4783411"/>
    <s v="v4.0.0"/>
    <s v="Acinetobacter baumannii"/>
    <n v="470"/>
    <s v="Acinetobacter baumannii"/>
    <n v="470"/>
    <s v="Acinetobacter"/>
    <n v="469"/>
    <s v="Acinetobacter"/>
    <s v="NZ_MPBX01000001.1"/>
    <s v="961/1000"/>
    <n v="0"/>
    <n v="9.56583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x v="27"/>
  </r>
  <r>
    <x v="121"/>
    <s v="SAMEA6156090"/>
    <x v="1"/>
    <x v="3"/>
    <s v="PRJEB29739"/>
    <n v="9.0819989999999997"/>
    <n v="8.6752769999999995"/>
    <s v="6894910f9352c84be5ecc142"/>
    <s v="ERR4783413"/>
    <s v="v4.0.0"/>
    <s v="Acinetobacter baumannii"/>
    <n v="470"/>
    <s v="Acinetobacter baumannii"/>
    <n v="470"/>
    <s v="Acinetobacter"/>
    <n v="469"/>
    <s v="Acinetobacter"/>
    <s v="NZ_VHHL01000001.1"/>
    <s v="701/1000"/>
    <n v="0"/>
    <n v="9.2055499999999998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0"/>
    <x v="2"/>
  </r>
  <r>
    <x v="122"/>
    <s v="SAMEA6156091"/>
    <x v="1"/>
    <x v="3"/>
    <s v="PRJEB29739"/>
    <n v="9.0819989999999997"/>
    <n v="8.6752769999999995"/>
    <s v="6894910f9352c843b6ecc143"/>
    <s v="ERR4783415"/>
    <s v="v4.0.0"/>
    <s v="Acinetobacter baumannii"/>
    <n v="470"/>
    <s v="Acinetobacter baumannii"/>
    <n v="470"/>
    <s v="Acinetobacter"/>
    <n v="469"/>
    <s v="Acinetobacter"/>
    <s v="NZ_RHXW01000010.1"/>
    <s v="700/1000"/>
    <n v="0"/>
    <n v="9.2455200000000001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2"/>
  </r>
  <r>
    <x v="123"/>
    <s v="SAMEA6156092"/>
    <x v="1"/>
    <x v="3"/>
    <s v="PRJEB29739"/>
    <n v="9.0819989999999997"/>
    <n v="8.6752769999999995"/>
    <s v="6894910f9352c8c038ecc144"/>
    <s v="ERR4783417"/>
    <s v="v4.0.0"/>
    <s v="Acinetobacter baumannii"/>
    <n v="470"/>
    <s v="Acinetobacter baumannii"/>
    <n v="470"/>
    <s v="Acinetobacter"/>
    <n v="469"/>
    <s v="Acinetobacter"/>
    <s v="NZ_VHHL01000001.1"/>
    <s v="676/1000"/>
    <n v="0"/>
    <n v="1.0229800000000001E-2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2"/>
  </r>
  <r>
    <x v="124"/>
    <s v="SAMEA6156094"/>
    <x v="1"/>
    <x v="3"/>
    <s v="PRJEB29739"/>
    <n v="9.0819989999999997"/>
    <n v="8.6752769999999995"/>
    <s v="6894910f9352c81c10ecc145"/>
    <s v="ERR4783419"/>
    <s v="v4.0.0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25"/>
    <s v="SAMEA6422772"/>
    <x v="1"/>
    <x v="3"/>
    <s v="PRJEB29739"/>
    <n v="9.0819989999999997"/>
    <n v="8.6752769999999995"/>
    <s v="6894910f9352c847acecc147"/>
    <s v="ERR4783518"/>
    <s v="v4.0.0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26"/>
    <s v="SAMEA7472255"/>
    <x v="3"/>
    <x v="4"/>
    <s v="PRJEB33565"/>
    <n v="9"/>
    <n v="38"/>
    <s v="628e519f72c510001fef4a88"/>
    <s v="ERR4919979"/>
    <s v="v3.0.1"/>
    <s v="Acinetobacter baumannii"/>
    <n v="470"/>
    <s v="Acinetobacter baumannii"/>
    <n v="470"/>
    <s v="Acinetobacter"/>
    <n v="469"/>
    <s v="Acinetobacter"/>
    <s v="NZ_LN868200.1"/>
    <s v="863/1000"/>
    <n v="0"/>
    <n v="3.6372100000000001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0"/>
    <n v="0"/>
    <n v="0"/>
    <n v="0"/>
    <n v="0"/>
    <x v="28"/>
  </r>
  <r>
    <x v="127"/>
    <s v="SAMEA7472266"/>
    <x v="3"/>
    <x v="4"/>
    <s v="PRJEB33565"/>
    <n v="9"/>
    <n v="38"/>
    <s v="628e519f72c510001fef4a8a"/>
    <s v="ERR4919980"/>
    <s v="v3.0.1"/>
    <s v="Acinetobacter baumannii"/>
    <n v="470"/>
    <s v="Acinetobacter baumannii"/>
    <n v="470"/>
    <s v="Acinetobacter"/>
    <n v="469"/>
    <s v="Acinetobacter"/>
    <s v="NZ_UCPK02000001.1"/>
    <s v="929/1000"/>
    <n v="0"/>
    <n v="1.7857699999999999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28"/>
    <s v="SAMEA7472269"/>
    <x v="3"/>
    <x v="4"/>
    <s v="PRJEB33565"/>
    <n v="9"/>
    <n v="38"/>
    <s v="628e519f72c510001fef4a8c"/>
    <s v="ERR4919981"/>
    <s v="v3.0.1"/>
    <s v="Acinetobacter baumannii"/>
    <n v="470"/>
    <s v="Acinetobacter baumannii"/>
    <n v="470"/>
    <s v="Acinetobacter"/>
    <n v="469"/>
    <s v="Acinetobacter"/>
    <s v="NZ_UCPK02000001.1"/>
    <s v="922/1000"/>
    <n v="0"/>
    <n v="1.9728200000000001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29"/>
    <s v="SAMEA7472272"/>
    <x v="3"/>
    <x v="4"/>
    <s v="PRJEB33565"/>
    <n v="9"/>
    <n v="38"/>
    <s v="628e519f72c510001fef4a8e"/>
    <s v="ERR4919983"/>
    <s v="v3.0.1"/>
    <s v="Acinetobacter baumannii"/>
    <n v="470"/>
    <s v="Acinetobacter baumannii"/>
    <n v="470"/>
    <s v="Acinetobacter"/>
    <n v="469"/>
    <s v="Acinetobacter"/>
    <s v="NZ_UCPR02000001.1"/>
    <s v="927/1000"/>
    <n v="0"/>
    <n v="1.8389999999999999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30"/>
    <s v="SAMEA7472275"/>
    <x v="3"/>
    <x v="4"/>
    <s v="PRJEB33565"/>
    <n v="9"/>
    <n v="38"/>
    <s v="628e519f72c510001fef4a90"/>
    <s v="ERR4919984"/>
    <s v="v3.0.1"/>
    <s v="Acinetobacter baumannii"/>
    <n v="470"/>
    <s v="Acinetobacter baumannii"/>
    <n v="470"/>
    <s v="Acinetobacter"/>
    <n v="469"/>
    <s v="Acinetobacter"/>
    <s v="NZ_UCPK02000001.1"/>
    <s v="937/1000"/>
    <n v="0"/>
    <n v="1.57453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31"/>
    <s v="SAMEA7472282"/>
    <x v="3"/>
    <x v="4"/>
    <s v="PRJEB33565"/>
    <n v="9"/>
    <n v="38"/>
    <s v="628e519f72c510001fef4a92"/>
    <s v="ERR4919985"/>
    <s v="v3.0.1"/>
    <s v="Acinetobacter baumannii"/>
    <n v="470"/>
    <s v="Acinetobacter baumannii"/>
    <n v="470"/>
    <s v="Acinetobacter"/>
    <n v="469"/>
    <s v="Acinetobacter"/>
    <s v="NZ_FBXI01000001.1"/>
    <s v="934/1000"/>
    <n v="0"/>
    <n v="1.65343E-3"/>
    <m/>
    <s v="Human"/>
    <m/>
    <s v="Genomic epidemiology and patterns of antimicrobial resistance of neonatal sepsis in low- and middle-income countries https://barnards-group.com"/>
    <s v="CARDIFF UNIVERSITY"/>
    <m/>
    <x v="5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32"/>
    <s v="SAMEA7472369"/>
    <x v="3"/>
    <x v="4"/>
    <s v="PRJEB33565"/>
    <n v="12"/>
    <n v="8"/>
    <s v="628e51a072c510001fef4a9a"/>
    <s v="ERR4919991"/>
    <s v="v3.0.1"/>
    <s v="Acinetobacter baumannii"/>
    <n v="470"/>
    <s v="Acinetobacter baumannii"/>
    <n v="470"/>
    <s v="Acinetobacter"/>
    <n v="469"/>
    <s v="Acinetobacter"/>
    <s v="NZ_JEZB01000001.1"/>
    <s v="929/1000"/>
    <n v="0"/>
    <n v="1.7857699999999999E-3"/>
    <m/>
    <s v="Human"/>
    <m/>
    <s v="Genomic epidemiology and patterns of antimicrobial resistance of neonatal sepsis in low- and middle-income countries https://barnards-group.com"/>
    <s v="CARDIFF UNIVERSITY"/>
    <m/>
    <x v="1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33"/>
    <s v="SAMEA7472384"/>
    <x v="3"/>
    <x v="4"/>
    <s v="PRJEB33565"/>
    <n v="12"/>
    <n v="8"/>
    <s v="628e51a072c510001fef4a9c"/>
    <s v="ERR4919992"/>
    <s v="v3.0.1"/>
    <s v="Acinetobacter baumannii"/>
    <n v="470"/>
    <s v="Acinetobacter baumannii"/>
    <n v="470"/>
    <s v="Acinetobacter"/>
    <n v="469"/>
    <s v="Acinetobacter"/>
    <s v="NZ_UFKS01000070.1"/>
    <s v="853/1000"/>
    <n v="0"/>
    <n v="3.9359299999999998E-3"/>
    <m/>
    <s v="Human"/>
    <m/>
    <s v="Genomic epidemiology and patterns of antimicrobial resistance of neonatal sepsis in low- and middle-income countries https://barnards-group.com"/>
    <s v="CARDIFF UNIVERSITY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134"/>
    <s v="SAMEA7472417"/>
    <x v="3"/>
    <x v="4"/>
    <s v="PRJEB33565"/>
    <n v="12"/>
    <n v="8"/>
    <s v="628e51a072c510001fef4a9e"/>
    <s v="ERR4919993"/>
    <s v="v3.0.1"/>
    <s v="Acinetobacter baumannii"/>
    <n v="470"/>
    <s v="Acinetobacter baumannii"/>
    <n v="470"/>
    <s v="Acinetobacter"/>
    <n v="469"/>
    <s v="Acinetobacter"/>
    <s v="NZ_FTRX01000225.1"/>
    <s v="924/1000"/>
    <n v="0"/>
    <n v="1.91916E-3"/>
    <m/>
    <s v="Human"/>
    <m/>
    <s v="Genomic epidemiology and patterns of antimicrobial resistance of neonatal sepsis in low- and middle-income countries https://barnards-group.com"/>
    <s v="CARDIFF UNIVERSITY"/>
    <m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30"/>
  </r>
  <r>
    <x v="135"/>
    <s v="SAMEA7472901"/>
    <x v="3"/>
    <x v="4"/>
    <s v="PRJEB33565"/>
    <n v="-1.9"/>
    <n v="30"/>
    <s v="628e51a072c510001fef4ab2"/>
    <s v="ERR4920008"/>
    <s v="v3.0.1"/>
    <s v="Acinetobacter baumannii"/>
    <n v="470"/>
    <s v="Acinetobacter baumannii"/>
    <n v="470"/>
    <s v="Acinetobacter"/>
    <n v="469"/>
    <s v="Acinetobacter"/>
    <s v="NZ_RHZA01000010.1"/>
    <s v="919/1000"/>
    <n v="0"/>
    <n v="2.0536299999999999E-3"/>
    <m/>
    <s v="Human"/>
    <m/>
    <s v="Genomic epidemiology and patterns of antimicrobial resistance of neonatal sepsis in low- and middle-income countries https://barnards-group.com"/>
    <s v="CARDIFF UNIVERSITY"/>
    <m/>
    <x v="6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0"/>
    <n v="0"/>
    <n v="0"/>
    <n v="1"/>
    <n v="1"/>
    <n v="0"/>
    <n v="1"/>
    <n v="0"/>
    <n v="0"/>
    <x v="31"/>
  </r>
  <r>
    <x v="136"/>
    <s v="SAMEA7472929"/>
    <x v="3"/>
    <x v="4"/>
    <s v="PRJEB33565"/>
    <n v="-33"/>
    <n v="18"/>
    <s v="628e51a072c510001fef4ab4"/>
    <s v="ERR4920011"/>
    <s v="v3.0.1"/>
    <s v="Acinetobacter baumannii"/>
    <n v="470"/>
    <s v="Acinetobacter baumannii"/>
    <n v="470"/>
    <s v="Acinetobacter"/>
    <n v="469"/>
    <s v="Acinetobacter"/>
    <s v="NZ_CACRXT010000001.1"/>
    <s v="980/1000"/>
    <n v="0"/>
    <n v="4.8344600000000001E-4"/>
    <m/>
    <s v="Human"/>
    <m/>
    <s v="Genomic epidemiology and patterns of antimicrobial resistance of neonatal sepsis in low- and middle-income countries https://barnards-group.com"/>
    <s v="CARDIFF UNIVERSITY"/>
    <m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x v="1"/>
  </r>
  <r>
    <x v="137"/>
    <s v="SAMEA7472932"/>
    <x v="3"/>
    <x v="4"/>
    <s v="PRJEB33565"/>
    <n v="-33"/>
    <n v="18"/>
    <s v="628e51a072c510001fef4ab6"/>
    <s v="ERR4920012"/>
    <s v="v3.0.1"/>
    <s v="Acinetobacter baumannii"/>
    <n v="470"/>
    <s v="Acinetobacter baumannii"/>
    <n v="470"/>
    <s v="Acinetobacter"/>
    <n v="469"/>
    <s v="Acinetobacter"/>
    <s v="NZ_UFMP01000067.1"/>
    <s v="913/1000"/>
    <n v="0"/>
    <n v="2.2164200000000002E-3"/>
    <m/>
    <s v="Human"/>
    <m/>
    <s v="Genomic epidemiology and patterns of antimicrobial resistance of neonatal sepsis in low- and middle-income countries https://barnards-group.com"/>
    <s v="CARDIFF UNIVERSITY"/>
    <m/>
    <x v="2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0"/>
    <x v="7"/>
  </r>
  <r>
    <x v="138"/>
    <s v="SAMEA7472944"/>
    <x v="3"/>
    <x v="4"/>
    <s v="PRJEB33565"/>
    <n v="-33"/>
    <n v="18"/>
    <s v="628e51a072c510001fef4ab8"/>
    <s v="ERR4920013"/>
    <s v="v3.0.1"/>
    <s v="Acinetobacter baumannii"/>
    <n v="470"/>
    <s v="Acinetobacter baumannii"/>
    <n v="470"/>
    <s v="Acinetobacter"/>
    <n v="469"/>
    <s v="Acinetobacter"/>
    <s v="NZ_UFMP01000067.1"/>
    <s v="919/1000"/>
    <n v="0"/>
    <n v="2.0536299999999999E-3"/>
    <m/>
    <s v="Human"/>
    <m/>
    <s v="Genomic epidemiology and patterns of antimicrobial resistance of neonatal sepsis in low- and middle-income countries https://barnards-group.com"/>
    <s v="CARDIFF UNIVERSITY"/>
    <m/>
    <x v="2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0"/>
    <x v="7"/>
  </r>
  <r>
    <x v="139"/>
    <s v="SAMEA7725278"/>
    <x v="1"/>
    <x v="3"/>
    <s v="PRJEB42042"/>
    <n v="27"/>
    <n v="17"/>
    <s v="628e51a072c510001fef4aba"/>
    <s v="ERR4999559"/>
    <s v="v3.0.1"/>
    <s v="Acinetobacter baumannii"/>
    <n v="470"/>
    <s v="Acinetobacter baumannii"/>
    <n v="470"/>
    <s v="Acinetobacter"/>
    <n v="469"/>
    <s v="Acinetobacter"/>
    <s v="NZ_NIWL01000010.1"/>
    <s v="808/1000"/>
    <n v="0"/>
    <n v="5.3460599999999997E-3"/>
    <s v="W/S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32"/>
  </r>
  <r>
    <x v="140"/>
    <s v="SAMEA7725279"/>
    <x v="1"/>
    <x v="3"/>
    <s v="PRJEB42042"/>
    <n v="27"/>
    <n v="17"/>
    <s v="628e51a072c510001fef4abc"/>
    <s v="ERR4999560"/>
    <s v="v3.0.1"/>
    <s v="Acinetobacter baumannii"/>
    <n v="470"/>
    <s v="Acinetobacter baumannii"/>
    <n v="470"/>
    <s v="Acinetobacter"/>
    <n v="469"/>
    <s v="Acinetobacter"/>
    <s v="NZ_CP041035.1"/>
    <s v="959/1000"/>
    <n v="0"/>
    <n v="1.0072E-3"/>
    <s v="Wound"/>
    <s v="Human"/>
    <m/>
    <s v="Acinetobacter baumannii isolated from patients in Libya"/>
    <s v="University of Cologne"/>
    <m/>
    <x v="7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41"/>
    <s v="SAMEA7725280"/>
    <x v="1"/>
    <x v="3"/>
    <s v="PRJEB42042"/>
    <n v="27"/>
    <n v="17"/>
    <s v="628e51a072c510001fef4abe"/>
    <s v="ERR4999561"/>
    <s v="v3.0.1"/>
    <s v="Acinetobacter baumannii"/>
    <n v="470"/>
    <s v="Acinetobacter baumannii"/>
    <n v="470"/>
    <s v="Acinetobacter"/>
    <n v="469"/>
    <s v="Acinetobacter"/>
    <s v="NZ_AMEJ01000001.1"/>
    <s v="988/1000"/>
    <n v="0"/>
    <n v="2.8831000000000001E-4"/>
    <s v="Wound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1"/>
  </r>
  <r>
    <x v="142"/>
    <s v="SAMEA7725281"/>
    <x v="1"/>
    <x v="3"/>
    <s v="PRJEB42042"/>
    <n v="27"/>
    <n v="17"/>
    <s v="628e51a072c510001fef4ac0"/>
    <s v="ERR4999562"/>
    <s v="v3.0.1"/>
    <s v="Acinetobacter baumannii"/>
    <n v="470"/>
    <s v="Acinetobacter baumannii"/>
    <n v="470"/>
    <s v="Acinetobacter"/>
    <n v="469"/>
    <s v="Acinetobacter"/>
    <s v="NZ_AMEJ01000001.1"/>
    <s v="986/1000"/>
    <n v="0"/>
    <n v="3.36872E-4"/>
    <s v="Wound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1"/>
  </r>
  <r>
    <x v="143"/>
    <s v="SAMEA7725282"/>
    <x v="1"/>
    <x v="3"/>
    <s v="PRJEB42042"/>
    <n v="27"/>
    <n v="17"/>
    <s v="628e51a072c510001fef4ac2"/>
    <s v="ERR4999563"/>
    <s v="v3.0.1"/>
    <s v="Acinetobacter baumannii"/>
    <n v="470"/>
    <s v="Acinetobacter baumannii"/>
    <n v="470"/>
    <s v="Acinetobacter"/>
    <n v="469"/>
    <s v="Acinetobacter"/>
    <s v="NZ_JZCA01000008.1"/>
    <s v="963/1000"/>
    <n v="0"/>
    <n v="9.0612399999999904E-4"/>
    <s v="Woun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9"/>
  </r>
  <r>
    <x v="144"/>
    <s v="SAMEA7725283"/>
    <x v="1"/>
    <x v="3"/>
    <s v="PRJEB42042"/>
    <n v="27"/>
    <n v="17"/>
    <s v="628e51a072c510001fef4ac4"/>
    <s v="ERR4999564"/>
    <s v="v3.0.1"/>
    <s v="Acinetobacter baumannii"/>
    <n v="470"/>
    <s v="Acinetobacter baumannii"/>
    <n v="470"/>
    <s v="Acinetobacter"/>
    <n v="469"/>
    <s v="Acinetobacter"/>
    <s v="NZ_NIWL01000010.1"/>
    <s v="808/1000"/>
    <n v="0"/>
    <n v="5.3460599999999997E-3"/>
    <s v="Wound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32"/>
  </r>
  <r>
    <x v="145"/>
    <s v="SAMEA7725357"/>
    <x v="1"/>
    <x v="3"/>
    <s v="PRJEB42042"/>
    <n v="27"/>
    <n v="17"/>
    <s v="628e51a072c510001fef4ac6"/>
    <s v="ERR4999566"/>
    <s v="v3.0.1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Urine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9"/>
  </r>
  <r>
    <x v="146"/>
    <s v="SAMEA7725358"/>
    <x v="1"/>
    <x v="3"/>
    <s v="PRJEB42042"/>
    <n v="27"/>
    <n v="17"/>
    <s v="628e51a072c510001fef4ac8"/>
    <s v="ERR4999567"/>
    <s v="v3.0.1"/>
    <s v="Acinetobacter baumannii"/>
    <n v="470"/>
    <s v="Acinetobacter baumannii"/>
    <n v="470"/>
    <s v="Acinetobacter"/>
    <n v="469"/>
    <s v="Acinetobacter"/>
    <s v="NZ_AMEJ01000001.1"/>
    <s v="988/1000"/>
    <n v="0"/>
    <n v="2.8831000000000001E-4"/>
    <s v="FC Tip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1"/>
  </r>
  <r>
    <x v="147"/>
    <s v="SAMEA7725359"/>
    <x v="1"/>
    <x v="3"/>
    <s v="PRJEB42042"/>
    <n v="27"/>
    <n v="17"/>
    <s v="628e51a072c510001fef4aca"/>
    <s v="ERR4999568"/>
    <s v="v3.0.1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W/S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9"/>
  </r>
  <r>
    <x v="148"/>
    <s v="SAMEA7725360"/>
    <x v="1"/>
    <x v="3"/>
    <s v="PRJEB42042"/>
    <n v="27"/>
    <n v="17"/>
    <s v="628e51a072c510001fef4acc"/>
    <s v="ERR4999569"/>
    <s v="v3.0.1"/>
    <s v="Acinetobacter baumannii"/>
    <n v="470"/>
    <s v="Acinetobacter baumannii"/>
    <n v="470"/>
    <s v="Acinetobacter"/>
    <n v="469"/>
    <s v="Acinetobacter"/>
    <s v="NZ_QAGO01000010.1"/>
    <s v="978/1000"/>
    <n v="0"/>
    <n v="5.3260299999999998E-4"/>
    <s v="Bloo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149"/>
    <s v="SAMEA7725361"/>
    <x v="1"/>
    <x v="3"/>
    <s v="PRJEB42042"/>
    <n v="27"/>
    <n v="17"/>
    <s v="628e51a072c510001fef4ace"/>
    <s v="ERR4999570"/>
    <s v="v3.0.1"/>
    <s v="Acinetobacter baumannii"/>
    <n v="470"/>
    <s v="Acinetobacter baumannii"/>
    <n v="470"/>
    <s v="Acinetobacter"/>
    <n v="469"/>
    <s v="Acinetobacter"/>
    <s v="NZ_AMFV01000001.1"/>
    <s v="862/1000"/>
    <n v="0"/>
    <n v="3.6668600000000001E-3"/>
    <s v="Bloo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33"/>
  </r>
  <r>
    <x v="150"/>
    <s v="SAMEA7725362"/>
    <x v="1"/>
    <x v="3"/>
    <s v="PRJEB42042"/>
    <n v="27"/>
    <n v="17"/>
    <s v="628e51a072c510001fef4ad0"/>
    <s v="ERR4999571"/>
    <s v="v3.0.1"/>
    <s v="Acinetobacter baumannii"/>
    <n v="470"/>
    <s v="Acinetobacter baumannii"/>
    <n v="470"/>
    <s v="Acinetobacter"/>
    <n v="469"/>
    <s v="Acinetobacter"/>
    <s v="NZ_LNVD01000001.1"/>
    <s v="962/1000"/>
    <n v="0"/>
    <n v="9.3133399999999905E-4"/>
    <s v="Blood"/>
    <s v="Human"/>
    <m/>
    <s v="Acinetobacter baumannii isolated from patients in Libya"/>
    <s v="University of Cologne"/>
    <m/>
    <x v="7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51"/>
    <s v="SAMEA7725391"/>
    <x v="1"/>
    <x v="3"/>
    <s v="PRJEB42042"/>
    <n v="27"/>
    <n v="17"/>
    <s v="628e51a072c510001fef4ad2"/>
    <s v="ERR4999572"/>
    <s v="v3.0.1"/>
    <s v="Acinetobacter baumannii"/>
    <n v="470"/>
    <s v="Acinetobacter baumannii"/>
    <n v="470"/>
    <s v="Acinetobacter"/>
    <n v="469"/>
    <s v="Acinetobacter"/>
    <s v="NZ_AFDM01000010.1"/>
    <s v="970/1000"/>
    <n v="0"/>
    <n v="7.3074100000000003E-4"/>
    <s v="Sputum"/>
    <s v="Human"/>
    <m/>
    <s v="Acinetobacter baumannii isolated from patients in Libya"/>
    <s v="University of Cologne"/>
    <m/>
    <x v="7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52"/>
    <s v="SAMEA7725393"/>
    <x v="1"/>
    <x v="3"/>
    <s v="PRJEB42042"/>
    <n v="27"/>
    <n v="17"/>
    <s v="628e51a072c510001fef4ad4"/>
    <s v="ERR4999574"/>
    <s v="v3.0.1"/>
    <s v="Acinetobacter baumannii"/>
    <n v="470"/>
    <s v="Acinetobacter baumannii"/>
    <n v="470"/>
    <s v="Acinetobacter"/>
    <n v="469"/>
    <s v="Acinetobacter"/>
    <s v="NZ_NIWL01000010.1"/>
    <s v="794/1000"/>
    <n v="0"/>
    <n v="5.8082100000000003E-3"/>
    <s v="W/S"/>
    <s v="Human"/>
    <m/>
    <s v="Acinetobacter baumannii isolated from patients in Libya"/>
    <s v="University of Cologne"/>
    <m/>
    <x v="7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32"/>
  </r>
  <r>
    <x v="153"/>
    <s v="SAMEA7725394"/>
    <x v="1"/>
    <x v="3"/>
    <s v="PRJEB42042"/>
    <n v="27"/>
    <n v="17"/>
    <s v="628e51a072c510001fef4ad6"/>
    <s v="ERR4999575"/>
    <s v="v3.0.1"/>
    <s v="Acinetobacter baumannii"/>
    <n v="470"/>
    <s v="Acinetobacter baumannii"/>
    <n v="470"/>
    <s v="Acinetobacter"/>
    <n v="469"/>
    <s v="Acinetobacter"/>
    <s v="NZ_AMFV01000001.1"/>
    <s v="861/1000"/>
    <n v="0"/>
    <n v="3.6965499999999998E-3"/>
    <s v="W/S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33"/>
  </r>
  <r>
    <x v="154"/>
    <s v="SAMEA7725395"/>
    <x v="1"/>
    <x v="3"/>
    <s v="PRJEB42042"/>
    <n v="27"/>
    <n v="17"/>
    <s v="628e51a072c510001fef4ad8"/>
    <s v="ERR4999577"/>
    <s v="v3.0.1"/>
    <s v="Acinetobacter baumannii"/>
    <n v="470"/>
    <s v="Acinetobacter baumannii"/>
    <n v="470"/>
    <s v="Acinetobacter"/>
    <n v="469"/>
    <s v="Acinetobacter"/>
    <s v="NZ_AMFV01000001.1"/>
    <s v="862/1000"/>
    <n v="0"/>
    <n v="3.6668600000000001E-3"/>
    <s v="Woun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2"/>
  </r>
  <r>
    <x v="155"/>
    <s v="SAMEA7725421"/>
    <x v="1"/>
    <x v="3"/>
    <s v="PRJEB42042"/>
    <n v="27"/>
    <n v="17"/>
    <s v="628e51a072c510001fef4ada"/>
    <s v="ERR5000113"/>
    <s v="v3.0.1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Woun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9"/>
  </r>
  <r>
    <x v="156"/>
    <s v="SAMEA7725422"/>
    <x v="1"/>
    <x v="3"/>
    <s v="PRJEB42042"/>
    <n v="27"/>
    <n v="17"/>
    <s v="628e51a072c510001fef4adc"/>
    <s v="ERR5000114"/>
    <s v="v3.0.1"/>
    <s v="Acinetobacter baumannii"/>
    <n v="470"/>
    <s v="Acinetobacter baumannii"/>
    <n v="470"/>
    <s v="Acinetobacter"/>
    <n v="469"/>
    <s v="Acinetobacter"/>
    <s v="NZ_AFDM01000010.1"/>
    <s v="970/1000"/>
    <n v="0"/>
    <n v="7.3074100000000003E-4"/>
    <s v="UVE"/>
    <s v="Human"/>
    <m/>
    <s v="Acinetobacter baumannii isolated from patients in Libya"/>
    <s v="University of Cologne"/>
    <m/>
    <x v="7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57"/>
    <s v="SAMEA7725423"/>
    <x v="1"/>
    <x v="3"/>
    <s v="PRJEB42042"/>
    <n v="27"/>
    <n v="17"/>
    <s v="628e51a072c510001fef4ade"/>
    <s v="ERR5000123"/>
    <s v="v3.0.1"/>
    <s v="Acinetobacter baumannii"/>
    <n v="470"/>
    <s v="Acinetobacter baumannii"/>
    <n v="470"/>
    <s v="Acinetobacter"/>
    <n v="469"/>
    <s v="Acinetobacter"/>
    <s v="NZ_AMFV01000001.1"/>
    <s v="851/1000"/>
    <n v="0"/>
    <n v="3.9962900000000004E-3"/>
    <s v="Bloo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33"/>
  </r>
  <r>
    <x v="158"/>
    <s v="SAMEA7725432"/>
    <x v="1"/>
    <x v="3"/>
    <s v="PRJEB42042"/>
    <n v="27"/>
    <n v="17"/>
    <s v="628e51a072c510001fef4ae0"/>
    <s v="ERR5000189"/>
    <s v="v3.0.1"/>
    <s v="Acinetobacter baumannii"/>
    <n v="470"/>
    <s v="Acinetobacter baumannii"/>
    <n v="470"/>
    <s v="Acinetobacter"/>
    <n v="469"/>
    <s v="Acinetobacter"/>
    <s v="NZ_UCQE02000001.1"/>
    <s v="942/1000"/>
    <n v="0"/>
    <n v="1.4438700000000001E-3"/>
    <s v="Wound"/>
    <s v="Human"/>
    <m/>
    <s v="Acinetobacter baumannii isolated from patients in Libya"/>
    <s v="University of Cologne"/>
    <m/>
    <x v="7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59"/>
    <s v="SAMEA7725433"/>
    <x v="1"/>
    <x v="3"/>
    <s v="PRJEB42042"/>
    <n v="27"/>
    <n v="17"/>
    <s v="628e51a072c510001fef4ae2"/>
    <s v="ERR5000190"/>
    <s v="v3.0.1"/>
    <s v="Acinetobacter baumannii"/>
    <n v="470"/>
    <s v="Acinetobacter baumannii"/>
    <n v="470"/>
    <s v="Acinetobacter"/>
    <n v="469"/>
    <s v="Acinetobacter"/>
    <s v="NZ_WIHX01000010.1"/>
    <s v="938/1000"/>
    <n v="0"/>
    <n v="1.5483199999999999E-3"/>
    <s v="Wound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x v="0"/>
  </r>
  <r>
    <x v="160"/>
    <s v="SAMEA7725434"/>
    <x v="1"/>
    <x v="3"/>
    <s v="PRJEB42042"/>
    <n v="27"/>
    <n v="17"/>
    <s v="628e51a072c510001fef4ae4"/>
    <s v="ERR5000204"/>
    <s v="v3.0.1"/>
    <s v="Acinetobacter baumannii"/>
    <n v="470"/>
    <s v="Acinetobacter baumannii"/>
    <n v="470"/>
    <s v="Acinetobacter"/>
    <n v="469"/>
    <s v="Acinetobacter"/>
    <s v="NZ_AMFV01000001.1"/>
    <s v="853/1000"/>
    <n v="0"/>
    <n v="3.9359299999999998E-3"/>
    <s v="Throat/s"/>
    <s v="Human"/>
    <m/>
    <s v="Acinetobacter baumannii isolated from patients in Libya"/>
    <s v="University of Cologne"/>
    <m/>
    <x v="7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33"/>
  </r>
  <r>
    <x v="161"/>
    <s v="SAMEA7886638"/>
    <x v="1"/>
    <x v="3"/>
    <s v="PRJEB42731"/>
    <n v="26"/>
    <n v="29"/>
    <s v="628e51a072c510001fef4b02"/>
    <s v="ERR5205865"/>
    <s v="v3.0.1"/>
    <s v="Acinetobacter baumannii"/>
    <n v="470"/>
    <s v="Acinetobacter baumannii"/>
    <n v="470"/>
    <s v="Acinetobacter"/>
    <n v="469"/>
    <s v="Acinetobacter"/>
    <s v="NZ_LYNI01000001.1"/>
    <s v="971/1000"/>
    <n v="0"/>
    <n v="7.0584100000000002E-4"/>
    <m/>
    <s v="Human"/>
    <m/>
    <s v="Acinetobacter baumannii isolated from patients hospitalised in Cairo, Egypt"/>
    <s v="University of Cologne"/>
    <m/>
    <x v="4"/>
    <n v="0"/>
    <n v="0"/>
    <n v="0"/>
    <n v="0"/>
    <n v="1"/>
    <n v="0"/>
    <n v="0"/>
    <n v="0"/>
    <n v="1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162"/>
    <s v="SAMEA7886639"/>
    <x v="1"/>
    <x v="3"/>
    <s v="PRJEB42731"/>
    <n v="26"/>
    <n v="29"/>
    <s v="628e51a072c510001fef4b04"/>
    <s v="ERR5205866"/>
    <s v="v3.0.1"/>
    <s v="Acinetobacter baumannii"/>
    <n v="470"/>
    <s v="Acinetobacter baumannii"/>
    <n v="470"/>
    <s v="Acinetobacter"/>
    <n v="469"/>
    <s v="Acinetobacter"/>
    <s v="NZ_NGHL01000078.1"/>
    <s v="949/1000"/>
    <n v="0"/>
    <n v="1.2626499999999999E-3"/>
    <m/>
    <s v="Human"/>
    <m/>
    <s v="Acinetobacter baumannii isolated from patients hospitalised in Cairo, Egypt"/>
    <s v="University of Cologne"/>
    <m/>
    <x v="4"/>
    <n v="0"/>
    <n v="0"/>
    <n v="0"/>
    <n v="0"/>
    <n v="0"/>
    <n v="0"/>
    <n v="0"/>
    <n v="1"/>
    <n v="0"/>
    <n v="0"/>
    <n v="0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63"/>
    <s v="SAMEA7886640"/>
    <x v="1"/>
    <x v="3"/>
    <s v="PRJEB42731"/>
    <n v="26"/>
    <n v="29"/>
    <s v="628e51a072c510001fef4b06"/>
    <s v="ERR5205867"/>
    <s v="v3.0.1"/>
    <s v="Acinetobacter baumannii"/>
    <n v="470"/>
    <s v="Acinetobacter baumannii"/>
    <n v="470"/>
    <s v="Acinetobacter"/>
    <n v="469"/>
    <s v="Acinetobacter"/>
    <s v="NZ_SMUB01000100.1"/>
    <s v="900/1000"/>
    <n v="0"/>
    <n v="2.5746300000000001E-3"/>
    <m/>
    <s v="Human"/>
    <m/>
    <s v="Acinetobacter baumannii isolated from patients hospitalised in Cairo, Egypt"/>
    <s v="University of Cologne"/>
    <m/>
    <x v="4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1"/>
    <n v="0"/>
    <n v="0"/>
    <n v="0"/>
    <n v="0"/>
    <n v="0"/>
    <n v="0"/>
    <x v="34"/>
  </r>
  <r>
    <x v="164"/>
    <s v="SAMEA7886641"/>
    <x v="1"/>
    <x v="3"/>
    <s v="PRJEB42731"/>
    <n v="26"/>
    <n v="29"/>
    <s v="628e51a072c510001fef4b08"/>
    <s v="ERR5205868"/>
    <s v="v3.0.1"/>
    <s v="Acinetobacter baumannii"/>
    <n v="470"/>
    <s v="Acinetobacter baumannii"/>
    <n v="470"/>
    <s v="Acinetobacter"/>
    <n v="469"/>
    <s v="Acinetobacter"/>
    <s v="NZ_NGHL01000078.1"/>
    <s v="949/1000"/>
    <n v="0"/>
    <n v="1.2626499999999999E-3"/>
    <m/>
    <s v="Human"/>
    <m/>
    <s v="Acinetobacter baumannii isolated from patients hospitalised in Cairo, Egypt"/>
    <s v="University of Cologne"/>
    <m/>
    <x v="4"/>
    <n v="0"/>
    <n v="0"/>
    <n v="0"/>
    <n v="0"/>
    <n v="0"/>
    <n v="0"/>
    <n v="0"/>
    <n v="1"/>
    <n v="0"/>
    <n v="0"/>
    <n v="0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165"/>
    <s v="SAMEA7886642"/>
    <x v="1"/>
    <x v="3"/>
    <s v="PRJEB42731"/>
    <n v="26"/>
    <n v="29"/>
    <s v="628e51a072c510001fef4b0a"/>
    <s v="ERR5205869"/>
    <s v="v3.0.1"/>
    <s v="Acinetobacter baumannii"/>
    <n v="470"/>
    <s v="Acinetobacter baumannii"/>
    <n v="470"/>
    <s v="Acinetobacter"/>
    <n v="469"/>
    <s v="Acinetobacter"/>
    <s v="NZ_LYNI01000001.1"/>
    <s v="973/1000"/>
    <n v="0"/>
    <n v="6.5615399999999896E-4"/>
    <m/>
    <s v="Human"/>
    <m/>
    <s v="Acinetobacter baumannii isolated from patients hospitalised in Cairo, Egypt"/>
    <s v="University of Cologne"/>
    <m/>
    <x v="4"/>
    <n v="0"/>
    <n v="0"/>
    <n v="0"/>
    <n v="0"/>
    <n v="1"/>
    <n v="0"/>
    <n v="0"/>
    <n v="0"/>
    <n v="1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166"/>
    <s v="SAMEA7886644"/>
    <x v="1"/>
    <x v="3"/>
    <s v="PRJEB42731"/>
    <n v="26"/>
    <n v="29"/>
    <s v="628e51a072c510001fef4b0c"/>
    <s v="ERR5205871"/>
    <s v="v3.0.1"/>
    <s v="Acinetobacter baumannii"/>
    <n v="470"/>
    <s v="Acinetobacter baumannii"/>
    <n v="470"/>
    <s v="Acinetobacter"/>
    <n v="469"/>
    <s v="Acinetobacter"/>
    <s v="NZ_WIID01000010.1"/>
    <s v="912/1000"/>
    <n v="0"/>
    <n v="2.2437099999999999E-3"/>
    <m/>
    <s v="Human"/>
    <m/>
    <s v="Acinetobacter baumannii isolated from patients hospitalised in Cairo, Egypt"/>
    <s v="University of Cologne"/>
    <m/>
    <x v="4"/>
    <n v="0"/>
    <n v="0"/>
    <n v="0"/>
    <n v="0"/>
    <n v="0"/>
    <n v="1"/>
    <n v="0"/>
    <n v="0"/>
    <n v="1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167"/>
    <s v="SAMEA7486960"/>
    <x v="1"/>
    <x v="3"/>
    <s v="PRJEB29739"/>
    <n v="9.0819989999999997"/>
    <n v="8.6752769999999995"/>
    <s v="68a8a9ea4ba26f4cc205b703"/>
    <s v="ERR6938061"/>
    <s v="v4.0.0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0"/>
  </r>
  <r>
    <x v="168"/>
    <s v="SAMEA7486792"/>
    <x v="1"/>
    <x v="3"/>
    <s v="PRJEB29739"/>
    <n v="9.0819989999999997"/>
    <n v="8.6752769999999995"/>
    <s v="6894910f9352c87e97ecc149"/>
    <s v="ERR6938074"/>
    <s v="v4.0.0"/>
    <s v="Acinetobacter baumannii"/>
    <n v="470"/>
    <s v="Acinetobacter baumannii"/>
    <n v="470"/>
    <s v="Acinetobacter"/>
    <n v="469"/>
    <s v="Acinetobacter"/>
    <s v="NZ_CP021347.1"/>
    <s v="720/1000"/>
    <n v="0"/>
    <n v="8.4610099999999997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5"/>
  </r>
  <r>
    <x v="169"/>
    <s v="SAMEA7486795"/>
    <x v="1"/>
    <x v="3"/>
    <s v="PRJEB29739"/>
    <n v="9.0819989999999997"/>
    <n v="8.6752769999999995"/>
    <s v="6894910f9352c8e178ecc14a"/>
    <s v="ERR6938077"/>
    <s v="v4.0.0"/>
    <s v="Acinetobacter baumannii"/>
    <n v="470"/>
    <s v="Acinetobacter baumannii"/>
    <n v="470"/>
    <s v="Acinetobacter"/>
    <n v="469"/>
    <s v="Acinetobacter"/>
    <s v="NZ_CVLE01000001.1"/>
    <s v="943/1000"/>
    <n v="0"/>
    <n v="1.41786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170"/>
    <s v="SAMEA7486797"/>
    <x v="1"/>
    <x v="3"/>
    <s v="PRJEB29739"/>
    <n v="9.0819989999999997"/>
    <n v="8.6752769999999995"/>
    <s v="6894910f9352c841feecc14c"/>
    <s v="ERR6938084"/>
    <s v="v4.0.0"/>
    <s v="Acinetobacter baumannii"/>
    <n v="470"/>
    <s v="Acinetobacter baumannii"/>
    <n v="470"/>
    <s v="Acinetobacter"/>
    <n v="469"/>
    <s v="Acinetobacter"/>
    <s v="NZ_UFMX01000031.1"/>
    <s v="924/1000"/>
    <n v="0"/>
    <n v="1.91916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36"/>
  </r>
  <r>
    <x v="171"/>
    <s v="SAMEA7486799"/>
    <x v="1"/>
    <x v="3"/>
    <s v="PRJEB29739"/>
    <n v="9.0819989999999997"/>
    <n v="8.6752769999999995"/>
    <s v="6894910f9352c81ca6ecc14d"/>
    <s v="ERR6938087"/>
    <s v="v4.0.0"/>
    <s v="Acinetobacter baumannii"/>
    <n v="470"/>
    <s v="Acinetobacter baumannii"/>
    <n v="470"/>
    <s v="Acinetobacter"/>
    <n v="469"/>
    <s v="Acinetobacter"/>
    <s v="NZ_UFKG01000087.1"/>
    <s v="924/1000"/>
    <n v="0"/>
    <n v="1.91916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7"/>
  </r>
  <r>
    <x v="172"/>
    <s v="SAMEA7486800"/>
    <x v="1"/>
    <x v="3"/>
    <s v="PRJEB29739"/>
    <n v="9.0819989999999997"/>
    <n v="8.6752769999999995"/>
    <s v="6894910f9352c8debfecc14e"/>
    <s v="ERR6938090"/>
    <s v="v4.0.0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0"/>
  </r>
  <r>
    <x v="173"/>
    <s v="SAMEA7486802"/>
    <x v="1"/>
    <x v="3"/>
    <s v="PRJEB29739"/>
    <n v="9.0819989999999997"/>
    <n v="8.6752769999999995"/>
    <s v="6894910f9352c82be0ecc14f"/>
    <s v="ERR6938093"/>
    <s v="v4.0.0"/>
    <s v="Acinetobacter baumannii"/>
    <n v="470"/>
    <s v="Acinetobacter baumannii"/>
    <n v="470"/>
    <s v="Acinetobacter"/>
    <n v="469"/>
    <s v="Acinetobacter"/>
    <s v="NZ_CP021347.1"/>
    <s v="720/1000"/>
    <n v="0"/>
    <n v="8.4610099999999997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5"/>
  </r>
  <r>
    <x v="174"/>
    <s v="SAMEA7486803"/>
    <x v="1"/>
    <x v="3"/>
    <s v="PRJEB29739"/>
    <n v="9.0819989999999997"/>
    <n v="8.6752769999999995"/>
    <s v="6894910f9352c8b31aecc150"/>
    <s v="ERR6938096"/>
    <s v="v4.0.0"/>
    <s v="Acinetobacter baumannii"/>
    <n v="470"/>
    <s v="Acinetobacter baumannii"/>
    <n v="470"/>
    <s v="Acinetobacter"/>
    <n v="469"/>
    <s v="Acinetobacter"/>
    <s v="NZ_JEXR01000001.1"/>
    <s v="899/1000"/>
    <n v="0"/>
    <n v="2.6025000000000002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13"/>
  </r>
  <r>
    <x v="175"/>
    <s v="SAMEA7486804"/>
    <x v="1"/>
    <x v="3"/>
    <s v="PRJEB29739"/>
    <n v="9.0819989999999997"/>
    <n v="8.6752769999999995"/>
    <s v="6894910f9352c8c600ecc151"/>
    <s v="ERR6938099"/>
    <s v="v4.0.0"/>
    <s v="Acinetobacter baumannii"/>
    <n v="470"/>
    <s v="Acinetobacter baumannii"/>
    <n v="470"/>
    <s v="Acinetobacter"/>
    <n v="469"/>
    <s v="Acinetobacter"/>
    <s v="NZ_RFBW01000009.1"/>
    <s v="868/1000"/>
    <n v="0"/>
    <n v="3.4897499999999998E-3"/>
    <m/>
    <m/>
    <m/>
    <s v="NIHR_Global_Health_Research_Unit_on_Genomic_Surveillance_of_Antimicrobial_Resistance"/>
    <s v="Wellcome Sanger Institute;SC"/>
    <m/>
    <x v="1"/>
    <n v="1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0"/>
    <n v="0"/>
    <x v="0"/>
  </r>
  <r>
    <x v="176"/>
    <s v="SAMEA7486798"/>
    <x v="1"/>
    <x v="3"/>
    <s v="PRJEB29739"/>
    <n v="9.0819989999999997"/>
    <n v="8.6752769999999995"/>
    <s v="6894910f9352c82fa1ecc154"/>
    <s v="ERR6938111"/>
    <s v="v4.0.0"/>
    <s v="Acinetobacter baumannii"/>
    <n v="470"/>
    <s v="Acinetobacter baumannii"/>
    <n v="470"/>
    <s v="Acinetobacter"/>
    <n v="469"/>
    <s v="Acinetobacter"/>
    <s v="NZ_CVLD01000001.1"/>
    <s v="960/1000"/>
    <n v="0"/>
    <n v="9.8187100000000005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x v="4"/>
  </r>
  <r>
    <x v="177"/>
    <s v="SAMEA7486801"/>
    <x v="1"/>
    <x v="3"/>
    <s v="PRJEB29739"/>
    <n v="9.0819989999999997"/>
    <n v="8.6752769999999995"/>
    <s v="6894910f9352c89bebecc155"/>
    <s v="ERR6938114"/>
    <s v="v4.0.0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x v="20"/>
  </r>
  <r>
    <x v="178"/>
    <s v="SAMEA7486831"/>
    <x v="1"/>
    <x v="3"/>
    <s v="PRJEB29739"/>
    <n v="9.0819989999999997"/>
    <n v="8.6752769999999995"/>
    <s v="6894910f9352c81ab5ecc156"/>
    <s v="ERR6938153"/>
    <s v="v4.0.0"/>
    <s v="Acinetobacter baumannii"/>
    <n v="470"/>
    <s v="Acinetobacter baumannii"/>
    <n v="470"/>
    <s v="Acinetobacter"/>
    <n v="469"/>
    <s v="Acinetobacter"/>
    <s v="NZ_UFKC01000171.1"/>
    <s v="890/1000"/>
    <n v="0"/>
    <n v="2.8554000000000001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5"/>
  </r>
  <r>
    <x v="179"/>
    <s v="SAMEA8595430"/>
    <x v="1"/>
    <x v="3"/>
    <s v="PRJEB29739"/>
    <n v="9.0819989999999997"/>
    <n v="8.6752769999999995"/>
    <s v="6894910f9352c8c756ecc157"/>
    <s v="ERR6938409"/>
    <s v="v4.0.0"/>
    <s v="Acinetobacter baumannii"/>
    <n v="470"/>
    <s v="Acinetobacter baumannii"/>
    <n v="470"/>
    <s v="Acinetobacter"/>
    <n v="469"/>
    <s v="Acinetobacter"/>
    <s v="NZ_MPCA01000001.1"/>
    <s v="980/1000"/>
    <n v="0"/>
    <n v="4.8344600000000001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80"/>
    <s v="SAMEA8595628"/>
    <x v="1"/>
    <x v="3"/>
    <s v="PRJEB29739"/>
    <n v="9.0819989999999997"/>
    <n v="8.6752769999999995"/>
    <s v="6894910f9352c838a4ecc158"/>
    <s v="ERR6938479"/>
    <s v="v4.0.0"/>
    <s v="Acinetobacter baumannii"/>
    <n v="470"/>
    <s v="Acinetobacter baumannii"/>
    <n v="470"/>
    <s v="Acinetobacter"/>
    <n v="469"/>
    <s v="Acinetobacter"/>
    <s v="NZ_VHHD01000001.1"/>
    <s v="909/1000"/>
    <n v="0"/>
    <n v="2.32584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n v="1"/>
    <n v="1"/>
    <n v="0"/>
    <x v="28"/>
  </r>
  <r>
    <x v="181"/>
    <s v="SAMEA9651909"/>
    <x v="1"/>
    <x v="3"/>
    <s v="PRJEB29739"/>
    <n v="9.0819989999999997"/>
    <n v="8.6752769999999995"/>
    <s v="6894910f9352c86463ecc15b"/>
    <s v="ERR6938729"/>
    <s v="v4.0.0"/>
    <s v="Acinetobacter baumannii"/>
    <n v="470"/>
    <s v="Acinetobacter baumannii"/>
    <n v="470"/>
    <s v="Acinetobacter"/>
    <n v="469"/>
    <s v="Acinetobacter"/>
    <s v="NZ_SMUC01000100.1"/>
    <s v="970/1000"/>
    <n v="0"/>
    <n v="7.3074100000000003E-4"/>
    <m/>
    <m/>
    <m/>
    <s v="NIHR_Global_Health_Research_Unit_on_Genomic_Surveillance_of_Antimicrobial_Resistance"/>
    <s v="Wellcome Sanger Institute;SC"/>
    <m/>
    <x v="1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x v="29"/>
  </r>
  <r>
    <x v="182"/>
    <s v="SAMEA9651911"/>
    <x v="1"/>
    <x v="3"/>
    <s v="PRJEB29739"/>
    <n v="9.0819989999999997"/>
    <n v="8.6752769999999995"/>
    <s v="6894910f9352c8056cecc15d"/>
    <s v="ERR6938731"/>
    <s v="v4.0.0"/>
    <s v="Acinetobacter baumannii"/>
    <n v="470"/>
    <s v="Acinetobacter baumannii"/>
    <n v="470"/>
    <s v="Acinetobacter"/>
    <n v="469"/>
    <s v="Acinetobacter"/>
    <s v="NZ_SMUC01000100.1"/>
    <s v="945/1000"/>
    <n v="0"/>
    <n v="1.36596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29"/>
  </r>
  <r>
    <x v="183"/>
    <s v="SAMEA9651912"/>
    <x v="1"/>
    <x v="3"/>
    <s v="PRJEB29739"/>
    <n v="9.0819989999999997"/>
    <n v="8.6752769999999995"/>
    <s v="6894910f9352c88493ecc15e"/>
    <s v="ERR6938732"/>
    <s v="v4.0.0"/>
    <s v="Acinetobacter baumannii"/>
    <n v="470"/>
    <s v="Acinetobacter baumannii"/>
    <n v="470"/>
    <s v="Acinetobacter"/>
    <n v="469"/>
    <s v="Acinetobacter"/>
    <s v="NZ_SMUC01000100.1"/>
    <s v="966/1000"/>
    <n v="0"/>
    <n v="8.3072799999999998E-4"/>
    <m/>
    <m/>
    <m/>
    <s v="NIHR_Global_Health_Research_Unit_on_Genomic_Surveillance_of_Antimicrobial_Resistance"/>
    <s v="Wellcome Sanger Institute;SC"/>
    <m/>
    <x v="1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29"/>
  </r>
  <r>
    <x v="184"/>
    <s v="SAMEA9651919"/>
    <x v="1"/>
    <x v="3"/>
    <s v="PRJEB29739"/>
    <n v="9.0819989999999997"/>
    <n v="8.6752769999999995"/>
    <s v="6894910f9352c8186becc15f"/>
    <s v="ERR6938733"/>
    <s v="v4.0.0"/>
    <s v="Acinetobacter baumannii"/>
    <n v="470"/>
    <s v="Acinetobacter baumannii"/>
    <n v="470"/>
    <s v="Acinetobacter"/>
    <n v="469"/>
    <s v="Acinetobacter"/>
    <s v="NZ_MPCA01000001.1"/>
    <s v="978/1000"/>
    <n v="0"/>
    <n v="5.3260299999999998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85"/>
    <s v="SAMEA9651922"/>
    <x v="1"/>
    <x v="3"/>
    <s v="PRJEB29739"/>
    <n v="9.0819989999999997"/>
    <n v="8.6752769999999995"/>
    <s v="6894910f9352c8d06cecc160"/>
    <s v="ERR6938734"/>
    <s v="v4.0.0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186"/>
    <s v="SAMEA9651923"/>
    <x v="1"/>
    <x v="3"/>
    <s v="PRJEB29739"/>
    <n v="9.0819989999999997"/>
    <n v="8.6752769999999995"/>
    <s v="6894910f9352c8b39fecc161"/>
    <s v="ERR6938735"/>
    <s v="v4.0.0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187"/>
    <s v="SAMEA9651921"/>
    <x v="1"/>
    <x v="3"/>
    <s v="PRJEB29739"/>
    <n v="9.0819989999999997"/>
    <n v="8.6752769999999995"/>
    <s v="6894910f9352c8f909ecc162"/>
    <s v="ERR6938736"/>
    <s v="v4.0.0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188"/>
    <s v="SAMEA9651925"/>
    <x v="1"/>
    <x v="3"/>
    <s v="PRJEB29739"/>
    <n v="9.0819989999999997"/>
    <n v="8.6752769999999995"/>
    <s v="6894910f9352c87b41ecc164"/>
    <s v="ERR6938738"/>
    <s v="v4.0.0"/>
    <s v="Acinetobacter baumannii"/>
    <n v="470"/>
    <s v="Acinetobacter baumannii"/>
    <n v="470"/>
    <s v="Acinetobacter"/>
    <n v="469"/>
    <s v="Acinetobacter"/>
    <s v="NZ_NXGU01000001.1"/>
    <s v="500/1000"/>
    <n v="0"/>
    <n v="1.9307899999999999E-2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1"/>
    <n v="1"/>
    <n v="1"/>
    <n v="0"/>
    <n v="0"/>
    <n v="1"/>
    <n v="0"/>
    <n v="0"/>
    <x v="2"/>
  </r>
  <r>
    <x v="189"/>
    <s v="SAMEA9651929"/>
    <x v="1"/>
    <x v="3"/>
    <s v="PRJEB29739"/>
    <n v="9.0819989999999997"/>
    <n v="8.6752769999999995"/>
    <s v="6894910f9352c83c3aecc165"/>
    <s v="ERR6938739"/>
    <s v="v4.0.0"/>
    <s v="Acinetobacter baumannii"/>
    <n v="470"/>
    <s v="Acinetobacter baumannii"/>
    <n v="470"/>
    <s v="Acinetobacter"/>
    <n v="469"/>
    <s v="Acinetobacter"/>
    <s v="NZ_UFMX01000031.1"/>
    <s v="933/1000"/>
    <n v="0"/>
    <n v="1.67980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36"/>
  </r>
  <r>
    <x v="190"/>
    <s v="SAMEA9651927"/>
    <x v="1"/>
    <x v="3"/>
    <s v="PRJEB29739"/>
    <n v="9.0819989999999997"/>
    <n v="8.6752769999999995"/>
    <s v="6894910f9352c89585ecc166"/>
    <s v="ERR6938740"/>
    <s v="v4.0.0"/>
    <s v="Acinetobacter baumannii"/>
    <n v="470"/>
    <s v="Acinetobacter baumannii"/>
    <n v="470"/>
    <s v="Acinetobacter"/>
    <n v="469"/>
    <s v="Acinetobacter"/>
    <s v="NZ_UFMX01000031.1"/>
    <s v="933/1000"/>
    <n v="0"/>
    <n v="1.67980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36"/>
  </r>
  <r>
    <x v="191"/>
    <s v="SAMEA9651926"/>
    <x v="1"/>
    <x v="3"/>
    <s v="PRJEB29739"/>
    <n v="9.0819989999999997"/>
    <n v="8.6752769999999995"/>
    <s v="6894910f9352c83f97ecc167"/>
    <s v="ERR6938741"/>
    <s v="v4.0.0"/>
    <s v="Acinetobacter baumannii"/>
    <n v="470"/>
    <s v="Acinetobacter baumannii"/>
    <n v="470"/>
    <s v="Acinetobacter"/>
    <n v="469"/>
    <s v="Acinetobacter"/>
    <s v="NC_020547.2"/>
    <s v="866/1000"/>
    <n v="0"/>
    <n v="3.54858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8"/>
  </r>
  <r>
    <x v="192"/>
    <s v="SAMEA9651928"/>
    <x v="1"/>
    <x v="3"/>
    <s v="PRJEB29739"/>
    <n v="9.0819989999999997"/>
    <n v="8.6752769999999995"/>
    <s v="6894910f9352c8056aecc168"/>
    <s v="ERR6938743"/>
    <s v="v4.0.0"/>
    <s v="Acinetobacter baumannii"/>
    <n v="470"/>
    <s v="Acinetobacter baumannii"/>
    <n v="470"/>
    <s v="Acinetobacter"/>
    <n v="469"/>
    <s v="Acinetobacter"/>
    <s v="NC_020547.2"/>
    <s v="866/1000"/>
    <n v="0"/>
    <n v="3.54858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x v="28"/>
  </r>
  <r>
    <x v="193"/>
    <s v="SAMEA9651931"/>
    <x v="1"/>
    <x v="3"/>
    <s v="PRJEB29739"/>
    <n v="9.0819989999999997"/>
    <n v="8.6752769999999995"/>
    <s v="6894910f9352c8429eecc169"/>
    <s v="ERR6938745"/>
    <s v="v4.0.0"/>
    <s v="Acinetobacter baumannii"/>
    <n v="470"/>
    <s v="Acinetobacter baumannii"/>
    <n v="470"/>
    <s v="Acinetobacter"/>
    <n v="469"/>
    <s v="Acinetobacter"/>
    <s v="NZ_MPCA01000001.1"/>
    <s v="962/1000"/>
    <n v="0"/>
    <n v="9.3133400000000002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94"/>
    <s v="SAMEA9651933"/>
    <x v="1"/>
    <x v="3"/>
    <s v="PRJEB29739"/>
    <n v="9.0819989999999997"/>
    <n v="8.6752769999999995"/>
    <s v="6894910f9352c8475eecc16b"/>
    <s v="ERR6938749"/>
    <s v="v4.0.0"/>
    <s v="Acinetobacter baumannii"/>
    <n v="470"/>
    <s v="Acinetobacter baumannii"/>
    <n v="470"/>
    <s v="Acinetobacter"/>
    <n v="469"/>
    <s v="Acinetobacter"/>
    <s v="NZ_MPCA01000001.1"/>
    <s v="962/1000"/>
    <n v="0"/>
    <n v="9.3133400000000002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195"/>
    <s v="SAMEA9651897"/>
    <x v="1"/>
    <x v="3"/>
    <s v="PRJEB29739"/>
    <n v="9.0819989999999997"/>
    <n v="8.6752769999999995"/>
    <s v="6894910f9352c88082ecc16f"/>
    <s v="ERR6938913"/>
    <s v="v4.0.0"/>
    <s v="Acinetobacter baumannii"/>
    <n v="470"/>
    <s v="Acinetobacter baumannii"/>
    <n v="470"/>
    <s v="Acinetobacter"/>
    <n v="469"/>
    <s v="Acinetobacter"/>
    <s v="NZ_CP021347.1"/>
    <s v="697/1000"/>
    <n v="0"/>
    <n v="9.3659399999999997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35"/>
  </r>
  <r>
    <x v="196"/>
    <s v="SAMEA9651902"/>
    <x v="1"/>
    <x v="3"/>
    <s v="PRJEB29739"/>
    <n v="9.0819989999999997"/>
    <n v="8.6752769999999995"/>
    <s v="6894910f9352c87814ecc176"/>
    <s v="ERR6938928"/>
    <s v="v4.0.0"/>
    <s v="Acinetobacter baumannii"/>
    <n v="470"/>
    <s v="Acinetobacter baumannii"/>
    <n v="470"/>
    <s v="Acinetobacter"/>
    <n v="469"/>
    <s v="Acinetobacter"/>
    <s v="NZ_NXGU01000001.1"/>
    <s v="965/1000"/>
    <n v="0"/>
    <n v="8.5582099999999999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x v="1"/>
  </r>
  <r>
    <x v="197"/>
    <s v="SAMEA9651903"/>
    <x v="1"/>
    <x v="3"/>
    <s v="PRJEB29739"/>
    <n v="9.0819989999999997"/>
    <n v="8.6752769999999995"/>
    <s v="6894910f9352c81cebecc177"/>
    <s v="ERR6938929"/>
    <s v="v4.0.0"/>
    <s v="Acinetobacter baumannii"/>
    <n v="470"/>
    <s v="Acinetobacter baumannii"/>
    <n v="470"/>
    <s v="Acinetobacter"/>
    <n v="469"/>
    <s v="Acinetobacter"/>
    <s v="NZ_NXGU01000001.1"/>
    <s v="964/1000"/>
    <n v="0"/>
    <n v="8.8095299999999997E-4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x v="1"/>
  </r>
  <r>
    <x v="198"/>
    <s v="SAMEA9651905"/>
    <x v="1"/>
    <x v="3"/>
    <s v="PRJEB29739"/>
    <n v="9.0819989999999997"/>
    <n v="8.6752769999999995"/>
    <s v="6894910f9352c8a529ecc179"/>
    <s v="ERR6938931"/>
    <s v="v4.0.0"/>
    <s v="Acinetobacter baumannii"/>
    <n v="470"/>
    <s v="Acinetobacter baumannii"/>
    <n v="470"/>
    <s v="Acinetobacter"/>
    <n v="469"/>
    <s v="Acinetobacter"/>
    <s v="NZ_CP010781.1"/>
    <s v="918/1000"/>
    <n v="0"/>
    <n v="2.0806499999999999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199"/>
    <s v="SAMEA9845162"/>
    <x v="1"/>
    <x v="3"/>
    <s v="PRJEB29739"/>
    <n v="9.0819989999999997"/>
    <n v="8.6752769999999995"/>
    <s v="6894910f9352c807a2ecc17b"/>
    <s v="ERR7226293"/>
    <s v="v4.0.0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37"/>
  </r>
  <r>
    <x v="200"/>
    <s v="SAMEA9845171"/>
    <x v="1"/>
    <x v="3"/>
    <s v="PRJEB29739"/>
    <n v="9.0819989999999997"/>
    <n v="8.6752769999999995"/>
    <s v="6894910f9352c84e2cecc17c"/>
    <s v="ERR7226295"/>
    <s v="v4.0.0"/>
    <s v="Acinetobacter baumannii"/>
    <n v="470"/>
    <s v="Acinetobacter baumannii"/>
    <n v="470"/>
    <s v="Acinetobacter"/>
    <n v="469"/>
    <s v="Acinetobacter"/>
    <s v="NZ_UFKB01000118.1"/>
    <s v="912/1000"/>
    <n v="0"/>
    <n v="2.24370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38"/>
  </r>
  <r>
    <x v="201"/>
    <s v="SAMEA9845114"/>
    <x v="1"/>
    <x v="3"/>
    <s v="PRJEB29739"/>
    <n v="9.0819989999999997"/>
    <n v="8.6752769999999995"/>
    <s v="6894910f9352c8f9c0ecc17e"/>
    <s v="ERR7226554"/>
    <s v="v4.0.0"/>
    <s v="Acinetobacter baumannii"/>
    <n v="470"/>
    <s v="Acinetobacter baumannii"/>
    <n v="470"/>
    <s v="Acinetobacter"/>
    <n v="469"/>
    <s v="Acinetobacter"/>
    <s v="NZ_NXGU01000001.1"/>
    <s v="979/1000"/>
    <n v="0"/>
    <n v="5.0800599999999997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02"/>
    <s v="SAMEA9845119"/>
    <x v="1"/>
    <x v="3"/>
    <s v="PRJEB29739"/>
    <n v="9.0819989999999997"/>
    <n v="8.6752769999999995"/>
    <s v="6894910f9352c8d000ecc17f"/>
    <s v="ERR7226556"/>
    <s v="v4.0.0"/>
    <s v="Acinetobacter baumannii"/>
    <n v="470"/>
    <s v="Acinetobacter baumannii"/>
    <n v="470"/>
    <s v="Acinetobacter"/>
    <n v="469"/>
    <s v="Acinetobacter"/>
    <s v="NZ_NXGU01000001.1"/>
    <s v="980/1000"/>
    <n v="0"/>
    <n v="4.8344600000000001E-4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03"/>
    <s v="_x0009__x000a_SAMEA9845138"/>
    <x v="1"/>
    <x v="3"/>
    <s v="PRJEB29739"/>
    <n v="9.0819989999999997"/>
    <n v="8.6752769999999995"/>
    <s v="6894910f9352c8d3cbecc186"/>
    <s v="ERR7226586"/>
    <s v="v4.0.0"/>
    <s v="Acinetobacter baumannii"/>
    <n v="470"/>
    <s v="Acinetobacter baumannii"/>
    <n v="470"/>
    <s v="Acinetobacter"/>
    <n v="469"/>
    <s v="Acinetobacter"/>
    <s v="NZ_NIWP01000085.1"/>
    <s v="908/1000"/>
    <n v="0"/>
    <n v="2.3533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0"/>
  </r>
  <r>
    <x v="204"/>
    <s v="SAMEA9845141"/>
    <x v="1"/>
    <x v="3"/>
    <s v="PRJEB29739"/>
    <n v="9.0819989999999997"/>
    <n v="8.6752769999999995"/>
    <s v="6894910f9352c83621ecc187"/>
    <s v="ERR7226588"/>
    <s v="v4.0.0"/>
    <s v="Acinetobacter baumannii"/>
    <n v="470"/>
    <s v="Acinetobacter baumannii"/>
    <n v="470"/>
    <s v="Acinetobacter"/>
    <n v="469"/>
    <s v="Acinetobacter"/>
    <s v="NZ_BKDD01000001.1"/>
    <s v="491/1000"/>
    <n v="0"/>
    <n v="1.98862E-2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x v="39"/>
  </r>
  <r>
    <x v="205"/>
    <s v="SAMEA9845142"/>
    <x v="1"/>
    <x v="3"/>
    <s v="PRJEB29739"/>
    <n v="9.0819989999999997"/>
    <n v="8.6752769999999995"/>
    <s v="68a8a9ea4ba26f531405b702"/>
    <s v="ERR7226590"/>
    <s v="v4.0.0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206"/>
    <s v="SAMEA9845145"/>
    <x v="1"/>
    <x v="3"/>
    <s v="PRJEB29739"/>
    <n v="9.0819989999999997"/>
    <n v="8.6752769999999995"/>
    <s v="6894910f9352c810beecc189"/>
    <s v="ERR7226592"/>
    <s v="v4.0.0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207"/>
    <s v="SAMEA9845146"/>
    <x v="1"/>
    <x v="3"/>
    <s v="PRJEB29739"/>
    <n v="9.0819989999999997"/>
    <n v="8.6752769999999995"/>
    <s v="6894910f9352c82a48ecc18a"/>
    <s v="ERR7226594"/>
    <s v="v4.0.0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x v="1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208"/>
    <s v="SAMEA9845148"/>
    <x v="1"/>
    <x v="3"/>
    <s v="PRJEB29739"/>
    <n v="9.0819989999999997"/>
    <n v="8.6752769999999995"/>
    <s v="6894910f9352c851d2ecc18b"/>
    <s v="ERR7226612"/>
    <s v="v4.0.0"/>
    <s v="Acinetobacter baumannii"/>
    <n v="470"/>
    <s v="Acinetobacter baumannii"/>
    <n v="470"/>
    <s v="Acinetobacter"/>
    <n v="469"/>
    <s v="Acinetobacter"/>
    <s v="NZ_RFBW01000009.1"/>
    <s v="931/1000"/>
    <n v="0"/>
    <n v="1.7327099999999999E-3"/>
    <m/>
    <m/>
    <m/>
    <s v="NIHR_Global_Health_Research_Unit_on_Genomic_Surveillance_of_Antimicrobial_Resistance"/>
    <s v="Wellcome Sanger Institute;SC"/>
    <m/>
    <x v="1"/>
    <n v="1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0"/>
    <n v="1"/>
    <n v="0"/>
    <n v="0"/>
    <x v="0"/>
  </r>
  <r>
    <x v="209"/>
    <s v="SAMEA984514"/>
    <x v="1"/>
    <x v="3"/>
    <s v="PRJEB29739"/>
    <n v="9.0819989999999997"/>
    <n v="8.6752769999999995"/>
    <s v="6894910f9352c8361cecc18c"/>
    <s v="ERR7226614"/>
    <s v="v4.0.0"/>
    <s v="Acinetobacter baumannii"/>
    <n v="470"/>
    <s v="Acinetobacter baumannii"/>
    <n v="470"/>
    <s v="Acinetobacter"/>
    <n v="469"/>
    <s v="Acinetobacter"/>
    <s v="NZ_VHGT01000001.1"/>
    <s v="871/1000"/>
    <n v="0"/>
    <n v="3.40187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x v="40"/>
  </r>
  <r>
    <x v="210"/>
    <s v="SAMEA9845149"/>
    <x v="1"/>
    <x v="3"/>
    <s v="PRJEB29739"/>
    <n v="9.0819989999999997"/>
    <n v="8.6752769999999995"/>
    <s v="6894910f9352c8a09fecc18d"/>
    <s v="ERR7226616"/>
    <s v="v4.0.0"/>
    <s v="Acinetobacter baumannii"/>
    <n v="470"/>
    <s v="Acinetobacter baumannii"/>
    <n v="470"/>
    <s v="Acinetobacter"/>
    <n v="469"/>
    <s v="Acinetobacter"/>
    <s v="NZ_CP020597.1"/>
    <s v="976/1000"/>
    <n v="0"/>
    <n v="5.8191000000000004E-4"/>
    <m/>
    <m/>
    <m/>
    <s v="NIHR_Global_Health_Research_Unit_on_Genomic_Surveillance_of_Antimicrobial_Resistance"/>
    <s v="Wellcome Sanger Institute;SC"/>
    <m/>
    <x v="1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1"/>
    <n v="0"/>
    <n v="0"/>
    <x v="29"/>
  </r>
  <r>
    <x v="211"/>
    <s v="SAMEA9845150"/>
    <x v="1"/>
    <x v="3"/>
    <s v="PRJEB29739"/>
    <n v="9.0819989999999997"/>
    <n v="8.6752769999999995"/>
    <s v="6894910f9352c836f7ecc18e"/>
    <s v="ERR7226618"/>
    <s v="v4.0.0"/>
    <s v="Acinetobacter baumannii"/>
    <n v="470"/>
    <s v="Acinetobacter baumannii"/>
    <n v="470"/>
    <s v="Acinetobacter"/>
    <n v="469"/>
    <s v="Acinetobacter"/>
    <s v="NZ_PXMF01000001.1"/>
    <s v="923/1000"/>
    <n v="0"/>
    <n v="1.94597E-3"/>
    <m/>
    <m/>
    <m/>
    <s v="NIHR_Global_Health_Research_Unit_on_Genomic_Surveillance_of_Antimicrobial_Resistance"/>
    <s v="Wellcome Sanger Institute;SC"/>
    <m/>
    <x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31"/>
  </r>
  <r>
    <x v="212"/>
    <s v="SAMEA9845151"/>
    <x v="1"/>
    <x v="3"/>
    <s v="PRJEB29739"/>
    <n v="9.0819989999999997"/>
    <n v="8.6752769999999995"/>
    <s v="6894910f9352c87c63ecc18f"/>
    <s v="ERR7226620"/>
    <s v="v4.0.0"/>
    <s v="Acinetobacter baumannii"/>
    <n v="470"/>
    <s v="Acinetobacter baumannii"/>
    <n v="470"/>
    <s v="Acinetobacter"/>
    <n v="469"/>
    <s v="Acinetobacter"/>
    <s v="NZ_NIWP01000085.1"/>
    <s v="909/1000"/>
    <n v="0"/>
    <n v="2.32584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0"/>
  </r>
  <r>
    <x v="213"/>
    <s v="SAMEA9845152"/>
    <x v="1"/>
    <x v="3"/>
    <s v="PRJEB29739"/>
    <n v="9.0819989999999997"/>
    <n v="8.6752769999999995"/>
    <s v="6894910f9352c8198decc190"/>
    <s v="ERR7226622"/>
    <s v="v4.0.0"/>
    <s v="Acinetobacter baumannii"/>
    <n v="470"/>
    <s v="Acinetobacter baumannii"/>
    <n v="470"/>
    <s v="Acinetobacter"/>
    <n v="469"/>
    <s v="Acinetobacter"/>
    <s v="NZ_NIWP01000085.1"/>
    <s v="909/1000"/>
    <n v="0"/>
    <n v="2.32584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10"/>
  </r>
  <r>
    <x v="214"/>
    <s v="SAMEA9845154"/>
    <x v="1"/>
    <x v="3"/>
    <s v="PRJEB29739"/>
    <n v="9.0819989999999997"/>
    <n v="8.6752769999999995"/>
    <s v="6894910f9352c8593aecc192"/>
    <s v="ERR7226626"/>
    <s v="v4.0.0"/>
    <s v="Acinetobacter baumannii"/>
    <n v="470"/>
    <s v="Acinetobacter baumannii"/>
    <n v="470"/>
    <s v="Acinetobacter"/>
    <n v="469"/>
    <s v="Acinetobacter"/>
    <s v="NZ_QTKC01000085.1"/>
    <s v="912/1000"/>
    <n v="0"/>
    <n v="2.24370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7"/>
  </r>
  <r>
    <x v="215"/>
    <s v="SAMEA9845156"/>
    <x v="1"/>
    <x v="3"/>
    <s v="PRJEB29739"/>
    <n v="9.0819989999999997"/>
    <n v="8.6752769999999995"/>
    <s v="6894910f9352c86419ecc193"/>
    <s v="ERR7226644"/>
    <s v="v4.0.0"/>
    <s v="Acinetobacter baumannii"/>
    <n v="470"/>
    <s v="Acinetobacter baumannii"/>
    <n v="470"/>
    <s v="Acinetobacter"/>
    <n v="469"/>
    <s v="Acinetobacter"/>
    <s v="NZ_SOYV01000001.1"/>
    <s v="540/1000"/>
    <n v="0"/>
    <n v="1.68963E-2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1"/>
  </r>
  <r>
    <x v="216"/>
    <s v="SAMEA9845155"/>
    <x v="1"/>
    <x v="3"/>
    <s v="PRJEB29739"/>
    <n v="9.0819989999999997"/>
    <n v="8.6752769999999995"/>
    <s v="6894910f9352c85e9eecc194"/>
    <s v="ERR7226646"/>
    <s v="v4.0.0"/>
    <s v="Acinetobacter baumannii"/>
    <n v="470"/>
    <s v="Acinetobacter baumannii"/>
    <n v="470"/>
    <s v="Acinetobacter"/>
    <n v="469"/>
    <s v="Acinetobacter"/>
    <s v="NZ_UFMD01000063.1"/>
    <s v="920/1000"/>
    <n v="0"/>
    <n v="2.0266500000000001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7"/>
  </r>
  <r>
    <x v="217"/>
    <s v="SAMEA9845158"/>
    <x v="1"/>
    <x v="3"/>
    <s v="PRJEB29739"/>
    <n v="9.0819989999999997"/>
    <n v="8.6752769999999995"/>
    <s v="6894910f9352c828ebecc195"/>
    <s v="ERR7226648"/>
    <s v="v4.0.0"/>
    <s v="Acinetobacter baumannii"/>
    <n v="470"/>
    <s v="Acinetobacter baumannii"/>
    <n v="470"/>
    <s v="Acinetobacter"/>
    <n v="469"/>
    <s v="Acinetobacter"/>
    <s v="NZ_JFEF01000001.1"/>
    <s v="534/1000"/>
    <n v="0"/>
    <n v="1.7242400000000001E-2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2"/>
  </r>
  <r>
    <x v="218"/>
    <s v="_x0009__x000a_SAMEA9845157"/>
    <x v="1"/>
    <x v="3"/>
    <s v="PRJEB29739"/>
    <n v="9.0819989999999997"/>
    <n v="8.6752769999999995"/>
    <s v="6894910f9352c803c1ecc196"/>
    <s v="ERR7226650"/>
    <s v="v4.0.0"/>
    <s v="Acinetobacter baumannii"/>
    <n v="470"/>
    <s v="Acinetobacter baumannii"/>
    <n v="470"/>
    <s v="Acinetobacter"/>
    <n v="469"/>
    <s v="Acinetobacter"/>
    <s v="NZ_MSMU01000001.1"/>
    <s v="501/1000"/>
    <n v="0"/>
    <n v="1.9244500000000001E-2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43"/>
  </r>
  <r>
    <x v="219"/>
    <s v="SAMEA9845160"/>
    <x v="1"/>
    <x v="3"/>
    <s v="PRJEB29739"/>
    <n v="9.0819989999999997"/>
    <n v="8.6752769999999995"/>
    <s v="6894910f9352c83dd0ecc197"/>
    <s v="ERR7226654"/>
    <s v="v4.0.0"/>
    <s v="Acinetobacter baumannii"/>
    <n v="470"/>
    <s v="Acinetobacter baumannii"/>
    <n v="470"/>
    <s v="Acinetobacter"/>
    <n v="469"/>
    <s v="Acinetobacter"/>
    <s v="NZ_QTKC01000085.1"/>
    <s v="903/1000"/>
    <n v="0"/>
    <n v="2.4912900000000002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44"/>
  </r>
  <r>
    <x v="220"/>
    <s v="SAMEA9845161"/>
    <x v="1"/>
    <x v="3"/>
    <s v="PRJEB29739"/>
    <n v="9.0819989999999997"/>
    <n v="8.6752769999999995"/>
    <s v="6894910f9352c8ae18ecc198"/>
    <s v="ERR7226656"/>
    <s v="v4.0.0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37"/>
  </r>
  <r>
    <x v="221"/>
    <s v="SAMEA9845163"/>
    <x v="1"/>
    <x v="3"/>
    <s v="PRJEB29739"/>
    <n v="9.0819989999999997"/>
    <n v="8.6752769999999995"/>
    <s v="6894910f9352c8cb5eecc199"/>
    <s v="ERR7226658"/>
    <s v="v4.0.0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37"/>
  </r>
  <r>
    <x v="222"/>
    <s v="SAMEA9845164"/>
    <x v="1"/>
    <x v="3"/>
    <s v="PRJEB29739"/>
    <n v="9.0819989999999997"/>
    <n v="8.6752769999999995"/>
    <s v="6894910f9352c88146ecc19a"/>
    <s v="ERR7226676"/>
    <s v="v4.0.0"/>
    <s v="Acinetobacter baumannii"/>
    <n v="470"/>
    <s v="Acinetobacter baumannii"/>
    <n v="470"/>
    <s v="Acinetobacter"/>
    <n v="469"/>
    <s v="Acinetobacter"/>
    <s v="NZ_MPCA01000001.1"/>
    <s v="958/1000"/>
    <n v="0"/>
    <n v="1.0325600000000001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223"/>
    <s v="SAMEA9845165"/>
    <x v="1"/>
    <x v="3"/>
    <s v="PRJEB29739"/>
    <n v="9.0819989999999997"/>
    <n v="8.6752769999999995"/>
    <s v="6894910f9352c84b16ecc19b"/>
    <s v="ERR7226678"/>
    <s v="v4.0.0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37"/>
  </r>
  <r>
    <x v="224"/>
    <s v="SAMEA9845167"/>
    <x v="1"/>
    <x v="3"/>
    <s v="PRJEB29739"/>
    <n v="9.0819989999999997"/>
    <n v="8.6752769999999995"/>
    <s v="6894910f9352c8762aecc19c"/>
    <s v="ERR7226680"/>
    <s v="v4.0.0"/>
    <s v="Acinetobacter baumannii"/>
    <n v="470"/>
    <s v="Acinetobacter baumannii"/>
    <n v="470"/>
    <s v="Acinetobacter"/>
    <n v="469"/>
    <s v="Acinetobacter"/>
    <s v="NZ_JEXM01000001.1"/>
    <s v="544/1000"/>
    <n v="0"/>
    <n v="1.66683E-2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45"/>
  </r>
  <r>
    <x v="225"/>
    <s v="SAMEA9845170"/>
    <x v="1"/>
    <x v="3"/>
    <s v="PRJEB29739"/>
    <n v="9.0819989999999997"/>
    <n v="8.6752769999999995"/>
    <s v="6894910f9352c86725ecc19e"/>
    <s v="ERR7226688"/>
    <s v="v4.0.0"/>
    <s v="Acinetobacter baumannii"/>
    <n v="470"/>
    <s v="Acinetobacter baumannii"/>
    <n v="470"/>
    <s v="Acinetobacter"/>
    <n v="469"/>
    <s v="Acinetobacter"/>
    <s v="NZ_JMOD01000001.1"/>
    <s v="787/1000"/>
    <n v="0"/>
    <n v="6.04371999999999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226"/>
    <s v="SAMEA9845172"/>
    <x v="1"/>
    <x v="3"/>
    <s v="PRJEB29739"/>
    <n v="9.0819989999999997"/>
    <n v="8.6752769999999995"/>
    <s v="6894910f9352c8025aecc19f"/>
    <s v="ERR7226690"/>
    <s v="v4.0.0"/>
    <s v="Acinetobacter baumannii"/>
    <n v="470"/>
    <s v="Acinetobacter baumannii"/>
    <n v="470"/>
    <s v="Acinetobacter"/>
    <n v="469"/>
    <s v="Acinetobacter"/>
    <s v="NZ_JMOD01000001.1"/>
    <s v="787/1000"/>
    <n v="0"/>
    <n v="6.0437199999999998E-3"/>
    <m/>
    <m/>
    <m/>
    <s v="NIHR_Global_Health_Research_Unit_on_Genomic_Surveillance_of_Antimicrobial_Resistance"/>
    <s v="Wellcome Sanger Institute;SC"/>
    <m/>
    <x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8"/>
  </r>
  <r>
    <x v="227"/>
    <s v="SAMEA12311701"/>
    <x v="2"/>
    <x v="0"/>
    <s v="PRJEB46496"/>
    <n v="8.0300284000000008"/>
    <n v="-1.0800270999999999"/>
    <s v="628e51a472c510001fef4d10"/>
    <s v="ERR8024946"/>
    <s v="v3.0.1"/>
    <s v="Acinetobacter baumannii"/>
    <n v="470"/>
    <s v="Acinetobacter baumannii"/>
    <n v="470"/>
    <s v="Acinetobacter"/>
    <n v="469"/>
    <s v="Acinetobacter"/>
    <s v="NZ_CP051862.1"/>
    <s v="742/1000"/>
    <n v="0"/>
    <n v="7.6329900000000001E-3"/>
    <s v="hospital surface"/>
    <s v="hosptial surface"/>
    <m/>
    <s v="Environmental Surveillance of ESBL and Carbapenemase-Producing Gram-Negative Bacteria in a hospital in Ghana"/>
    <s v="CARDIFF UNIVERSITY"/>
    <m/>
    <x v="8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46"/>
  </r>
  <r>
    <x v="228"/>
    <s v="SAMEA12311702"/>
    <x v="2"/>
    <x v="0"/>
    <s v="PRJEB46496"/>
    <n v="8.0300284000000008"/>
    <n v="-1.0800270999999999"/>
    <s v="628e51a472c510001fef4d12"/>
    <s v="ERR8024947"/>
    <s v="v3.0.1"/>
    <s v="Acinetobacter baumannii"/>
    <n v="470"/>
    <s v="Acinetobacter baumannii"/>
    <n v="470"/>
    <s v="Acinetobacter"/>
    <n v="469"/>
    <s v="Acinetobacter"/>
    <s v="NZ_VNWQ01000001.1"/>
    <s v="797/1000"/>
    <n v="0"/>
    <n v="5.7081900000000001E-3"/>
    <s v="hospital surface"/>
    <s v="hosptial surface"/>
    <m/>
    <s v="Environmental Surveillance of ESBL and Carbapenemase-Producing Gram-Negative Bacteria in a hospital in Ghana"/>
    <s v="CARDIFF UNIVERSITY"/>
    <m/>
    <x v="8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x v="47"/>
  </r>
  <r>
    <x v="229"/>
    <s v="SAMEA12311705"/>
    <x v="2"/>
    <x v="0"/>
    <s v="PRJEB46496"/>
    <n v="8.0300284000000008"/>
    <n v="-1.0800270999999999"/>
    <s v="628e51a472c510001fef4d14"/>
    <s v="ERR8024950"/>
    <s v="v3.0.1"/>
    <s v="Acinetobacter baumannii"/>
    <n v="470"/>
    <s v="Acinetobacter baumannii"/>
    <n v="470"/>
    <s v="Acinetobacter"/>
    <n v="469"/>
    <s v="Acinetobacter"/>
    <s v="NZ_VNWQ01000001.1"/>
    <s v="797/1000"/>
    <n v="0"/>
    <n v="5.7081900000000001E-3"/>
    <s v="hospital surface"/>
    <s v="hosptial surface"/>
    <m/>
    <s v="Environmental Surveillance of ESBL and Carbapenemase-Producing Gram-Negative Bacteria in a hospital in Ghana"/>
    <s v="CARDIFF UNIVERSITY"/>
    <m/>
    <x v="8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x v="47"/>
  </r>
  <r>
    <x v="230"/>
    <s v="SAMEA12311706"/>
    <x v="2"/>
    <x v="0"/>
    <s v="PRJEB46496"/>
    <n v="8.0300284000000008"/>
    <n v="-1.0800270999999999"/>
    <s v="628e51a472c510001fef4d16"/>
    <s v="ERR8024951"/>
    <s v="v3.0.1"/>
    <s v="Acinetobacter baumannii"/>
    <n v="470"/>
    <s v="Acinetobacter baumannii"/>
    <n v="470"/>
    <s v="Acinetobacter"/>
    <n v="469"/>
    <s v="Acinetobacter"/>
    <s v="NZ_VNWQ01000001.1"/>
    <s v="796/1000"/>
    <n v="0"/>
    <n v="5.7414700000000003E-3"/>
    <s v="hospital surface"/>
    <s v="hosptial surface"/>
    <m/>
    <s v="Environmental Surveillance of ESBL and Carbapenemase-Producing Gram-Negative Bacteria in a hospital in Ghana"/>
    <s v="CARDIFF UNIVERSITY"/>
    <m/>
    <x v="8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x v="47"/>
  </r>
  <r>
    <x v="231"/>
    <s v="SAMEA12311711"/>
    <x v="2"/>
    <x v="0"/>
    <s v="PRJEB46496"/>
    <n v="8.0300284000000008"/>
    <n v="-1.0800270999999999"/>
    <s v="628e51a472c510001fef4d18"/>
    <s v="ERR8024959"/>
    <s v="v3.0.1"/>
    <s v="Acinetobacter baumannii"/>
    <n v="470"/>
    <s v="Acinetobacter baumannii"/>
    <n v="470"/>
    <s v="Acinetobacter"/>
    <n v="469"/>
    <s v="Acinetobacter"/>
    <s v="NZ_BHGH01000001.1"/>
    <s v="756/1000"/>
    <n v="0"/>
    <n v="7.1240599999999998E-3"/>
    <s v="hospital surface"/>
    <s v="hosptial surface"/>
    <m/>
    <s v="Environmental Surveillance of ESBL and Carbapenemase-Producing Gram-Negative Bacteria in a hospital in Ghana"/>
    <s v="CARDIFF UNIVERSITY"/>
    <m/>
    <x v="8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x v="48"/>
  </r>
  <r>
    <x v="232"/>
    <s v="SAMN13422049"/>
    <x v="4"/>
    <x v="4"/>
    <s v="PRJNA592050"/>
    <n v="8.0300284000000008"/>
    <n v="-1.0800270999999999"/>
    <s v="628e51a672c510001fef4e90"/>
    <s v="SRR10583096"/>
    <s v="v3.0.1"/>
    <s v="Acinetobacter baumannii"/>
    <n v="470"/>
    <s v="Acinetobacter baumannii"/>
    <n v="470"/>
    <s v="Acinetobacter"/>
    <n v="469"/>
    <s v="Acinetobacter"/>
    <s v="NZ_CZWE01000001.1"/>
    <s v="860/1000"/>
    <n v="0"/>
    <n v="3.7263000000000001E-3"/>
    <s v="Surgical site infection"/>
    <s v="Human"/>
    <m/>
    <s v="Air genomes from surgical room Raw sequence reads"/>
    <s v="RigshospitaleT"/>
    <m/>
    <x v="8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1"/>
  </r>
  <r>
    <x v="233"/>
    <s v="SAMN14567567"/>
    <x v="1"/>
    <x v="5"/>
    <s v="PRJNA624101"/>
    <n v="6.38"/>
    <n v="2.4500000000000002"/>
    <s v="6899ac4e7ea258767396517f"/>
    <s v="SRR11514880"/>
    <s v="v4.0.0"/>
    <s v="Acinetobacter baumannii"/>
    <n v="470"/>
    <s v="Acinetobacter baumannii"/>
    <n v="470"/>
    <s v="Acinetobacter"/>
    <n v="469"/>
    <s v="Acinetobacter"/>
    <s v="NZ_VHFD01000001.1"/>
    <s v="830/1000"/>
    <n v="0"/>
    <n v="4.64278E-3"/>
    <m/>
    <s v="Human"/>
    <m/>
    <s v="Whole-Genome sequence of NDM-1-producing Acinetobacter baumannii"/>
    <s v="Sciensano"/>
    <m/>
    <x v="9"/>
    <n v="1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49"/>
  </r>
  <r>
    <x v="234"/>
    <s v="SAMN14669798"/>
    <x v="2"/>
    <x v="6"/>
    <s v="PRJNA627433"/>
    <n v="-29"/>
    <n v="24"/>
    <s v="628e51a972c510001fef5070"/>
    <s v="SRR11589174"/>
    <s v="v3.0.1"/>
    <s v="Acinetobacter baumannii"/>
    <n v="470"/>
    <s v="Acinetobacter baumannii"/>
    <n v="470"/>
    <s v="Acinetobacter"/>
    <n v="469"/>
    <s v="Acinetobacter"/>
    <s v="NZ_UCPQ02000001.1"/>
    <s v="997/1000"/>
    <n v="0"/>
    <s v="7.15897e-05"/>
    <m/>
    <s v="Human"/>
    <m/>
    <s v="Carbapenem-resistant Acinetobacter baumannii (CRAB) tested for susceptibility to meropenem/QPX7728"/>
    <s v="Qpex Biopharma"/>
    <m/>
    <x v="2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235"/>
    <s v="SAMN14669869"/>
    <x v="2"/>
    <x v="7"/>
    <s v="PRJNA627433"/>
    <n v="-29"/>
    <n v="24"/>
    <s v="628e51aa72c510001fef50c8"/>
    <s v="SRR11589267"/>
    <s v="v3.0.1"/>
    <s v="Acinetobacter baumannii"/>
    <n v="470"/>
    <s v="Acinetobacter baumannii"/>
    <n v="470"/>
    <s v="Acinetobacter"/>
    <n v="469"/>
    <s v="Acinetobacter"/>
    <s v="NZ_JEVZ02000001.1"/>
    <s v="529/1000"/>
    <n v="0"/>
    <n v="1.7534899999999999E-2"/>
    <m/>
    <s v="Human"/>
    <m/>
    <s v="Carbapenem-resistant Acinetobacter baumannii (CRAB) tested for susceptibility to meropenem/QPX7729"/>
    <s v="Qpex Biopharma"/>
    <m/>
    <x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50"/>
  </r>
  <r>
    <x v="236"/>
    <s v="SAMN16562431"/>
    <x v="2"/>
    <x v="8"/>
    <s v="PRJNA672293"/>
    <n v="32.8872"/>
    <n v="13.1913"/>
    <s v="628e51ba72c510001fef5848"/>
    <s v="SRR12905336"/>
    <s v="v3.0.1"/>
    <s v="Acinetobacter baumannii"/>
    <n v="470"/>
    <s v="Acinetobacter baumannii"/>
    <n v="470"/>
    <s v="Acinetobacter"/>
    <n v="469"/>
    <s v="Acinetobacter"/>
    <s v="NZ_JZCA01000008.1"/>
    <s v="963/1000"/>
    <n v="0"/>
    <n v="9.0612399999999904E-4"/>
    <s v="Wound"/>
    <s v="Human"/>
    <s v="infection"/>
    <s v="AMR and conflict"/>
    <s v="American University of Beirut"/>
    <s v="Tripoli"/>
    <x v="7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29"/>
  </r>
  <r>
    <x v="237"/>
    <s v="SAMN16562435"/>
    <x v="2"/>
    <x v="8"/>
    <s v="PRJNA672293"/>
    <n v="32.8872"/>
    <n v="13.1913"/>
    <s v="628e51ba72c510001fef584a"/>
    <s v="SRR12905337"/>
    <s v="v3.0.1"/>
    <s v="Acinetobacter baumannii"/>
    <n v="470"/>
    <s v="Acinetobacter baumannii"/>
    <n v="470"/>
    <s v="Acinetobacter"/>
    <n v="469"/>
    <s v="Acinetobacter"/>
    <s v="NZ_NIWL01000010.1"/>
    <s v="793/1000"/>
    <n v="0"/>
    <n v="5.8416700000000002E-3"/>
    <s v="wound-Sputum"/>
    <s v="Human"/>
    <s v="infection"/>
    <s v="AMR and conflict"/>
    <s v="American University of Beirut"/>
    <s v="Tripoli"/>
    <x v="7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x v="32"/>
  </r>
  <r>
    <x v="238"/>
    <s v="SAMN16562434"/>
    <x v="2"/>
    <x v="8"/>
    <s v="PRJNA672293"/>
    <n v="32.8872"/>
    <n v="13.1913"/>
    <s v="628e51ba72c510001fef584c"/>
    <s v="SRR12905338"/>
    <s v="v3.0.1"/>
    <s v="Acinetobacter baumannii"/>
    <n v="470"/>
    <s v="Acinetobacter baumannii"/>
    <n v="470"/>
    <s v="Acinetobacter"/>
    <n v="469"/>
    <s v="Acinetobacter"/>
    <s v="NZ_LNVD01000001.1"/>
    <s v="962/1000"/>
    <n v="0"/>
    <n v="9.3133399999999905E-4"/>
    <s v="Blood"/>
    <s v="Human"/>
    <s v="bacterimia"/>
    <s v="AMR and conflict"/>
    <s v="American University of Beirut"/>
    <s v="Tripoli"/>
    <x v="7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x v="0"/>
  </r>
  <r>
    <x v="239"/>
    <s v="SAMN16562430"/>
    <x v="2"/>
    <x v="8"/>
    <s v="PRJNA672293"/>
    <n v="32.8872"/>
    <n v="13.1913"/>
    <s v="628e51ba72c510001fef584e"/>
    <s v="SRR12905341"/>
    <s v="v3.0.1"/>
    <s v="Acinetobacter baumannii"/>
    <n v="470"/>
    <s v="Acinetobacter baumannii"/>
    <n v="470"/>
    <s v="Acinetobacter"/>
    <n v="469"/>
    <s v="Acinetobacter"/>
    <s v="NZ_WIHX01000010.1"/>
    <s v="936/1000"/>
    <n v="0"/>
    <n v="1.6007899999999999E-3"/>
    <s v="Wound"/>
    <s v="Human"/>
    <s v="infection"/>
    <s v="AMR and conflict"/>
    <s v="American University of Beirut"/>
    <s v="Tripoli"/>
    <x v="7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x v="0"/>
  </r>
  <r>
    <x v="240"/>
    <s v="SAMN17182380"/>
    <x v="3"/>
    <x v="9"/>
    <s v="PRJNA688598"/>
    <n v="30.022729999999999"/>
    <n v="31.23789"/>
    <s v="628e51be72c510001fef5a3e"/>
    <s v="SRR13327178"/>
    <s v="v3.0.1"/>
    <s v="Acinetobacter baumannii"/>
    <n v="470"/>
    <s v="Acinetobacter baumannii"/>
    <n v="470"/>
    <s v="Acinetobacter"/>
    <n v="469"/>
    <s v="Acinetobacter"/>
    <s v="NZ_WIIH01000010.1"/>
    <s v="960/1000"/>
    <n v="0"/>
    <n v="9.8187100000000005E-4"/>
    <s v="BAL"/>
    <s v="Human"/>
    <s v="Cancer"/>
    <s v="Whole Genome Sequencing of Multidrug Resistant Acinetobacter baumannii - CCHE57357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41"/>
    <s v="SAMN17182379"/>
    <x v="3"/>
    <x v="9"/>
    <s v="PRJNA688598"/>
    <n v="30.022729999999999"/>
    <n v="31.23789"/>
    <s v="628e51be72c510001fef5a40"/>
    <s v="SRR13327179"/>
    <s v="v3.0.1"/>
    <s v="Acinetobacter baumannii"/>
    <n v="470"/>
    <s v="Acinetobacter baumannii"/>
    <n v="470"/>
    <s v="Acinetobacter"/>
    <n v="469"/>
    <s v="Acinetobacter"/>
    <s v="NZ_WIIH01000010.1"/>
    <s v="953/1000"/>
    <n v="0"/>
    <n v="1.1599900000000001E-3"/>
    <s v="Blood"/>
    <s v="Human"/>
    <s v="Cancer"/>
    <s v="Whole Genome Sequencing of Multidrug Resistant Acinetobacter baumannii - CCHE57358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42"/>
    <s v="SAMN17182377"/>
    <x v="5"/>
    <x v="10"/>
    <s v="PRJNA688598"/>
    <n v="30.022729999999999"/>
    <n v="31.23789"/>
    <s v="628e51be72c510001fef5a42"/>
    <s v="SRR13327181"/>
    <s v="v3.0.1"/>
    <s v="Acinetobacter baumannii"/>
    <n v="470"/>
    <s v="Acinetobacter baumannii"/>
    <n v="470"/>
    <s v="Acinetobacter"/>
    <n v="469"/>
    <s v="Acinetobacter"/>
    <s v="NZ_NXGU01000001.1"/>
    <s v="963/1000"/>
    <n v="0"/>
    <n v="9.0612399999999904E-4"/>
    <s v="Wound"/>
    <s v="Human"/>
    <s v="Cancer"/>
    <s v="Whole Genome Sequencing of Multidrug Resistant Acinetobacter baumannii - CCHE57359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3"/>
    <s v="SAMN17182374"/>
    <x v="2"/>
    <x v="11"/>
    <s v="PRJNA688598"/>
    <n v="30.022729999999999"/>
    <n v="31.23789"/>
    <s v="628e51be72c510001fef5a44"/>
    <s v="SRR13327185"/>
    <s v="v3.0.1"/>
    <s v="Acinetobacter baumannii"/>
    <n v="470"/>
    <s v="Acinetobacter baumannii"/>
    <n v="470"/>
    <s v="Acinetobacter"/>
    <n v="469"/>
    <s v="Acinetobacter"/>
    <s v="NZ_JAAOSB010000001.1"/>
    <s v="967/1000"/>
    <n v="0"/>
    <n v="8.0567300000000002E-4"/>
    <s v="CVP Blood"/>
    <s v="Human"/>
    <s v="Cancer"/>
    <s v="Whole Genome Sequencing of Multidrug Resistant Acinetobacter baumannii - CCHE57360"/>
    <s v="Children's Cancer Hospital - Egypt 57357 (CCHE57357)"/>
    <s v="Cairo"/>
    <x v="4"/>
    <n v="0"/>
    <n v="0"/>
    <n v="1"/>
    <n v="0"/>
    <n v="0"/>
    <n v="0"/>
    <n v="0"/>
    <n v="0"/>
    <n v="1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4"/>
    <s v="SAMN17182400"/>
    <x v="6"/>
    <x v="12"/>
    <s v="PRJNA688598"/>
    <n v="30.022729999999999"/>
    <n v="31.23789"/>
    <s v="628e51be72c510001fef5a46"/>
    <s v="SRR13327186"/>
    <s v="v3.0.1"/>
    <s v="Acinetobacter baumannii"/>
    <n v="470"/>
    <s v="Acinetobacter baumannii"/>
    <n v="470"/>
    <s v="Acinetobacter"/>
    <n v="469"/>
    <s v="Acinetobacter"/>
    <s v="NZ_JAAGSH010000001.1"/>
    <s v="952/1000"/>
    <n v="0"/>
    <n v="1.1856E-3"/>
    <s v="Blood"/>
    <s v="Human"/>
    <s v="Cancer"/>
    <s v="Whole Genome Sequencing of Multidrug Resistant Acinetobacter baumannii - CCHE57361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45"/>
    <s v="SAMN17182399"/>
    <x v="7"/>
    <x v="13"/>
    <s v="PRJNA688598"/>
    <n v="30.022729999999999"/>
    <n v="31.23789"/>
    <s v="628e51bf72c510001fef5a48"/>
    <s v="SRR13327187"/>
    <s v="v3.0.1"/>
    <s v="Acinetobacter baumannii"/>
    <n v="470"/>
    <s v="Acinetobacter baumannii"/>
    <n v="470"/>
    <s v="Acinetobacter"/>
    <n v="469"/>
    <s v="Acinetobacter"/>
    <s v="NZ_NXGU01000001.1"/>
    <s v="951/1000"/>
    <n v="0"/>
    <n v="1.2112399999999999E-3"/>
    <s v="CVP Blood"/>
    <s v="Human"/>
    <s v="Cancer"/>
    <s v="Whole Genome Sequencing of Multidrug Resistant Acinetobacter baumannii - CCHE57362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6"/>
    <s v="SAMN17182397"/>
    <x v="3"/>
    <x v="14"/>
    <s v="PRJNA688598"/>
    <n v="30.022729999999999"/>
    <n v="31.23789"/>
    <s v="628e51bf72c510001fef5a4a"/>
    <s v="SRR13327189"/>
    <s v="v3.0.1"/>
    <s v="Acinetobacter baumannii"/>
    <n v="470"/>
    <s v="Acinetobacter baumannii"/>
    <n v="470"/>
    <s v="Acinetobacter"/>
    <n v="469"/>
    <s v="Acinetobacter"/>
    <s v="NZ_JAAOSU010000001.1"/>
    <s v="952/1000"/>
    <n v="0"/>
    <n v="1.1856E-3"/>
    <s v="Blood"/>
    <s v="Human"/>
    <s v="Cancer"/>
    <s v="Whole Genome Sequencing of Multidrug Resistant Acinetobacter baumannii - CCHE57363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7"/>
    <s v="SAMN17182396"/>
    <x v="8"/>
    <x v="15"/>
    <s v="PRJNA688598"/>
    <n v="30.022729999999999"/>
    <n v="31.23789"/>
    <s v="628e51bf72c510001fef5a4c"/>
    <s v="SRR13327190"/>
    <s v="v3.0.1"/>
    <s v="Acinetobacter baumannii"/>
    <n v="470"/>
    <s v="Acinetobacter baumannii"/>
    <n v="470"/>
    <s v="Acinetobacter"/>
    <n v="469"/>
    <s v="Acinetobacter"/>
    <s v="NZ_JAAOSU010000001.1"/>
    <s v="953/1000"/>
    <n v="0"/>
    <n v="1.1599900000000001E-3"/>
    <s v="Blood"/>
    <s v="Human"/>
    <s v="Cancer"/>
    <s v="Whole Genome Sequencing of Multidrug Resistant Acinetobacter baumannii - CCHE57364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8"/>
    <s v="SAMN17182395"/>
    <x v="9"/>
    <x v="16"/>
    <s v="PRJNA688598"/>
    <n v="30.022729999999999"/>
    <n v="31.23789"/>
    <s v="628e51bf72c510001fef5a4e"/>
    <s v="SRR13327191"/>
    <s v="v3.0.1"/>
    <s v="Acinetobacter baumannii"/>
    <n v="470"/>
    <s v="Acinetobacter baumannii"/>
    <n v="470"/>
    <s v="Acinetobacter"/>
    <n v="469"/>
    <s v="Acinetobacter"/>
    <s v="NZ_NXGU01000001.1"/>
    <s v="960/1000"/>
    <n v="0"/>
    <n v="9.8187100000000005E-4"/>
    <s v="Blood"/>
    <s v="Human"/>
    <s v="Cancer"/>
    <s v="Whole Genome Sequencing of Multidrug Resistant Acinetobacter baumannii - CCHE57365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49"/>
    <s v="SAMN17182394"/>
    <x v="4"/>
    <x v="17"/>
    <s v="PRJNA688598"/>
    <n v="30.022729999999999"/>
    <n v="31.23789"/>
    <s v="628e51bf72c510001fef5a50"/>
    <s v="SRR13327192"/>
    <s v="v3.0.1"/>
    <s v="Acinetobacter baumannii"/>
    <n v="470"/>
    <s v="Acinetobacter baumannii"/>
    <n v="470"/>
    <s v="Acinetobacter"/>
    <n v="469"/>
    <s v="Acinetobacter"/>
    <s v="NZ_VAGF01000001.1"/>
    <s v="906/1000"/>
    <n v="0"/>
    <n v="2.40836E-3"/>
    <s v="BAL"/>
    <s v="Human"/>
    <s v="Cancer"/>
    <s v="Whole Genome Sequencing of Multidrug Resistant Acinetobacter baumannii - CCHE57366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1"/>
    <n v="0"/>
    <n v="0"/>
    <x v="51"/>
  </r>
  <r>
    <x v="250"/>
    <s v="SAMN17182393"/>
    <x v="4"/>
    <x v="18"/>
    <s v="PRJNA688598"/>
    <n v="30.022729999999999"/>
    <n v="31.23789"/>
    <s v="628e51bf72c510001fef5a52"/>
    <s v="SRR13327193"/>
    <s v="v3.0.1"/>
    <s v="Acinetobacter baumannii"/>
    <n v="470"/>
    <s v="Acinetobacter baumannii"/>
    <n v="470"/>
    <s v="Acinetobacter"/>
    <n v="469"/>
    <s v="Acinetobacter"/>
    <s v="NZ_WIID01000010.1"/>
    <s v="973/1000"/>
    <n v="0"/>
    <n v="6.5615399999999896E-4"/>
    <s v="BAL"/>
    <s v="Human"/>
    <s v="Cancer"/>
    <s v="Whole Genome Sequencing of Multidrug Resistant Acinetobacter baumannii - CCHE57367"/>
    <s v="Children's Cancer Hospital - Egypt 57357 (CCHE57357)"/>
    <s v="Cairo"/>
    <x v="4"/>
    <n v="0"/>
    <n v="0"/>
    <n v="0"/>
    <n v="0"/>
    <n v="1"/>
    <n v="0"/>
    <n v="0"/>
    <n v="0"/>
    <n v="1"/>
    <n v="0"/>
    <n v="0"/>
    <n v="1"/>
    <n v="1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251"/>
    <s v="SAMN17182392"/>
    <x v="4"/>
    <x v="18"/>
    <s v="PRJNA688598"/>
    <n v="30.022729999999999"/>
    <n v="31.23789"/>
    <s v="628e51bf72c510001fef5a54"/>
    <s v="SRR13327194"/>
    <s v="v3.0.1"/>
    <s v="Acinetobacter baumannii"/>
    <n v="470"/>
    <s v="Acinetobacter baumannii"/>
    <n v="470"/>
    <s v="Acinetobacter"/>
    <n v="469"/>
    <s v="Acinetobacter"/>
    <s v="NZ_VAGF01000001.1"/>
    <s v="904/1000"/>
    <n v="0"/>
    <n v="2.4635999999999998E-3"/>
    <s v="BAL"/>
    <s v="Human"/>
    <s v="Cancer"/>
    <s v="Whole Genome Sequencing of Multidrug Resistant Acinetobacter baumannii - CCHE57368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1"/>
    <n v="0"/>
    <n v="0"/>
    <x v="51"/>
  </r>
  <r>
    <x v="252"/>
    <s v="SAMN17182373"/>
    <x v="6"/>
    <x v="19"/>
    <s v="PRJNA688598"/>
    <n v="30.022729999999999"/>
    <n v="31.23789"/>
    <s v="628e51bf72c510001fef5a56"/>
    <s v="SRR13327196"/>
    <s v="v3.0.1"/>
    <s v="Acinetobacter baumannii"/>
    <n v="470"/>
    <s v="Acinetobacter baumannii"/>
    <n v="470"/>
    <s v="Acinetobacter"/>
    <n v="469"/>
    <s v="Acinetobacter"/>
    <s v="NZ_FWYM01000084.1"/>
    <s v="938/1000"/>
    <n v="0"/>
    <n v="1.5483199999999999E-3"/>
    <s v="Tissue"/>
    <s v="Human"/>
    <s v="Cancer"/>
    <s v="Whole Genome Sequencing of Multidrug Resistant Acinetobacter baumannii - CCHE57369"/>
    <s v="Children's Cancer Hospital - Egypt 57357 (CCHE57357)"/>
    <s v="Cairo"/>
    <x v="4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2"/>
  </r>
  <r>
    <x v="253"/>
    <s v="SAMN17182389"/>
    <x v="7"/>
    <x v="20"/>
    <s v="PRJNA688598"/>
    <n v="30.022729999999999"/>
    <n v="31.23789"/>
    <s v="628e51bf72c510001fef5a58"/>
    <s v="SRR13327198"/>
    <s v="v3.0.1"/>
    <s v="Acinetobacter baumannii"/>
    <n v="470"/>
    <s v="Acinetobacter baumannii"/>
    <n v="470"/>
    <s v="Acinetobacter"/>
    <n v="469"/>
    <s v="Acinetobacter"/>
    <s v="NZ_JAAOSU010000001.1"/>
    <s v="953/1000"/>
    <n v="0"/>
    <n v="1.1599900000000001E-3"/>
    <s v="Blood"/>
    <s v="Human"/>
    <s v="Cancer"/>
    <s v="Whole Genome Sequencing of Multidrug Resistant Acinetobacter baumannii - CCHE57370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2"/>
  </r>
  <r>
    <x v="254"/>
    <s v="SAMN17182388"/>
    <x v="7"/>
    <x v="21"/>
    <s v="PRJNA688598"/>
    <n v="30.022729999999999"/>
    <n v="31.23789"/>
    <s v="628e51bf72c510001fef5a5a"/>
    <s v="SRR13327199"/>
    <s v="v3.0.1"/>
    <s v="Acinetobacter baumannii"/>
    <n v="470"/>
    <s v="Acinetobacter baumannii"/>
    <n v="470"/>
    <s v="Acinetobacter"/>
    <n v="469"/>
    <s v="Acinetobacter"/>
    <s v="NZ_VAOJ01000001.1"/>
    <s v="901/1000"/>
    <n v="0"/>
    <n v="2.5468000000000001E-3"/>
    <s v="Blood"/>
    <s v="Human"/>
    <s v="Cancer"/>
    <s v="Whole Genome Sequencing of Multidrug Resistant Acinetobacter baumannii - CCHE57371"/>
    <s v="Children's Cancer Hospital - Egypt 57357 (CCHE57357)"/>
    <s v="Cairo"/>
    <x v="4"/>
    <n v="0"/>
    <n v="0"/>
    <n v="0"/>
    <n v="0"/>
    <n v="1"/>
    <n v="0"/>
    <n v="0"/>
    <n v="0"/>
    <n v="1"/>
    <n v="0"/>
    <n v="0"/>
    <n v="1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x v="52"/>
  </r>
  <r>
    <x v="255"/>
    <s v="SAMN17182387"/>
    <x v="7"/>
    <x v="22"/>
    <s v="PRJNA688598"/>
    <n v="30.022729999999999"/>
    <n v="31.23789"/>
    <s v="628e51bf72c510001fef5a5c"/>
    <s v="SRR13327200"/>
    <s v="v3.0.1"/>
    <s v="Acinetobacter baumannii"/>
    <n v="470"/>
    <s v="Acinetobacter baumannii"/>
    <n v="470"/>
    <s v="Acinetobacter"/>
    <n v="469"/>
    <s v="Acinetobacter"/>
    <s v="NZ_NXGU01000001.1"/>
    <s v="968/1000"/>
    <n v="0"/>
    <n v="7.8065800000000005E-4"/>
    <s v="CVP Blood"/>
    <s v="Human"/>
    <s v="Cancer"/>
    <s v="Whole Genome Sequencing of Multidrug Resistant Acinetobacter baumannii - CCHE57372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56"/>
    <s v="SAMN17182386"/>
    <x v="8"/>
    <x v="15"/>
    <s v="PRJNA688598"/>
    <n v="30.022729999999999"/>
    <n v="31.23789"/>
    <s v="628e51bf72c510001fef5a5e"/>
    <s v="SRR13327201"/>
    <s v="v3.0.1"/>
    <s v="Acinetobacter baumannii"/>
    <n v="470"/>
    <s v="Acinetobacter baumannii"/>
    <n v="470"/>
    <s v="Acinetobacter"/>
    <n v="469"/>
    <s v="Acinetobacter"/>
    <s v="NZ_JAAOSU010000001.1"/>
    <s v="950/1000"/>
    <n v="0"/>
    <n v="1.23693E-3"/>
    <s v="CVP Blood"/>
    <s v="Human"/>
    <s v="Cancer"/>
    <s v="Whole Genome Sequencing of Multidrug Resistant Acinetobacter baumannii - CCHE57373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57"/>
    <s v="SAMN17182384"/>
    <x v="10"/>
    <x v="23"/>
    <s v="PRJNA688598"/>
    <n v="30.022729999999999"/>
    <n v="31.23789"/>
    <s v="628e51bf72c510001fef5a60"/>
    <s v="SRR13327203"/>
    <s v="v3.0.1"/>
    <s v="Acinetobacter baumannii"/>
    <n v="470"/>
    <s v="Acinetobacter baumannii"/>
    <n v="470"/>
    <s v="Acinetobacter"/>
    <n v="469"/>
    <s v="Acinetobacter"/>
    <s v="NZ_JAAOSB010000001.1"/>
    <s v="941/1000"/>
    <n v="0"/>
    <n v="1.46992E-3"/>
    <s v="Blood"/>
    <s v="Human"/>
    <s v="Cancer"/>
    <s v="Whole Genome Sequencing of Multidrug Resistant Acinetobacter baumannii - CCHE57374"/>
    <s v="Children's Cancer Hospital - Egypt 57357 (CCHE57357)"/>
    <s v="Cairo"/>
    <x v="4"/>
    <n v="0"/>
    <n v="0"/>
    <n v="1"/>
    <n v="0"/>
    <n v="0"/>
    <n v="0"/>
    <n v="0"/>
    <n v="0"/>
    <n v="1"/>
    <n v="0"/>
    <n v="1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58"/>
    <s v="SAMN17182383"/>
    <x v="10"/>
    <x v="24"/>
    <s v="PRJNA688598"/>
    <n v="30.022729999999999"/>
    <n v="31.23789"/>
    <s v="628e51bf72c510001fef5a62"/>
    <s v="SRR13327204"/>
    <s v="v3.0.1"/>
    <s v="Acinetobacter baumannii"/>
    <n v="470"/>
    <s v="Acinetobacter baumannii"/>
    <n v="470"/>
    <s v="Acinetobacter"/>
    <n v="469"/>
    <s v="Acinetobacter"/>
    <s v="NZ_JAAOSB010000001.1"/>
    <s v="941/1000"/>
    <n v="0"/>
    <n v="1.46992E-3"/>
    <s v="Blood"/>
    <s v="Human"/>
    <s v="Cancer"/>
    <s v="Whole Genome Sequencing of Multidrug Resistant Acinetobacter baumannii - CCHE57375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59"/>
    <s v="SAMN17182382"/>
    <x v="11"/>
    <x v="25"/>
    <s v="PRJNA688598"/>
    <n v="30.022729999999999"/>
    <n v="31.23789"/>
    <s v="628e51bf72c510001fef5a64"/>
    <s v="SRR13327205"/>
    <s v="v3.0.1"/>
    <s v="Acinetobacter baumannii"/>
    <n v="470"/>
    <s v="Acinetobacter baumannii"/>
    <n v="470"/>
    <s v="Acinetobacter"/>
    <n v="469"/>
    <s v="Acinetobacter"/>
    <s v="NZ_JAAGSH010000001.1"/>
    <s v="953/1000"/>
    <n v="0"/>
    <n v="1.1599900000000001E-3"/>
    <s v="Blood"/>
    <s v="Human"/>
    <s v="Cancer"/>
    <s v="Whole Genome Sequencing of Multidrug Resistant Acinetobacter baumannii - CCHE57376"/>
    <s v="Children's Cancer Hospital - Egypt 57357 (CCHE57357)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60"/>
    <s v="SAMN17182381"/>
    <x v="10"/>
    <x v="26"/>
    <s v="PRJNA688598"/>
    <n v="30.022729999999999"/>
    <n v="31.23789"/>
    <s v="628e51bf72c510001fef5a66"/>
    <s v="SRR13327206"/>
    <s v="v3.0.1"/>
    <s v="Acinetobacter baumannii"/>
    <n v="470"/>
    <s v="Acinetobacter baumannii"/>
    <n v="470"/>
    <s v="Acinetobacter"/>
    <n v="469"/>
    <s v="Acinetobacter"/>
    <s v="NZ_JAAOSU010000001.1"/>
    <s v="948/1000"/>
    <n v="0"/>
    <n v="1.28842E-3"/>
    <s v="BAL"/>
    <s v="Human"/>
    <s v="Cancer"/>
    <s v="Whole Genome Sequencing of Multidrug Resistant Acinetobacter baumannii - CCHE57377"/>
    <s v="Children's Cancer Hospital - Egypt 57357 (CCHE57357)"/>
    <s v="Cairo"/>
    <x v="4"/>
    <n v="0"/>
    <n v="0"/>
    <n v="1"/>
    <n v="0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61"/>
    <s v="SAMN17182372"/>
    <x v="11"/>
    <x v="27"/>
    <s v="PRJNA688598"/>
    <n v="30.022729999999999"/>
    <n v="31.23789"/>
    <s v="628e51bf72c510001fef5a68"/>
    <s v="SRR13327207"/>
    <s v="v3.0.1"/>
    <s v="Acinetobacter baumannii"/>
    <n v="470"/>
    <s v="Acinetobacter baumannii"/>
    <n v="470"/>
    <s v="Acinetobacter"/>
    <n v="469"/>
    <s v="Acinetobacter"/>
    <s v="NZ_JAAOSU010000001.1"/>
    <s v="965/1000"/>
    <n v="0"/>
    <n v="8.5582099999999999E-4"/>
    <s v="BAL"/>
    <s v="Human"/>
    <s v="Cancer"/>
    <s v="Whole Genome Sequencing of Multidrug Resistant Acinetobacter baumannii - CCHE57378"/>
    <s v="Children's Cancer Hospital - Egypt 57357 (CCHE57357)"/>
    <s v="Cairo"/>
    <x v="4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262"/>
    <s v="SAMN17265991"/>
    <x v="0"/>
    <x v="28"/>
    <s v="PRJNA690827"/>
    <n v="30.03"/>
    <n v="31.23"/>
    <s v="6899ac4e7ea2582b88965180"/>
    <s v="SRR13401434"/>
    <s v="v4.0.0"/>
    <s v="Acinetobacter baumannii"/>
    <n v="470"/>
    <s v="Acinetobacter baumannii"/>
    <n v="470"/>
    <s v="Acinetobacter"/>
    <n v="469"/>
    <s v="Acinetobacter"/>
    <s v="NZ_SNVM01000001.1"/>
    <s v="869/1000"/>
    <n v="0"/>
    <n v="3.4604000000000002E-3"/>
    <s v="Endotracheal tube"/>
    <s v="Human"/>
    <s v="Chest infection"/>
    <s v="Whole genome sequencing of multidrug resistant Acinetobacter baumannii clinical isolates"/>
    <s v="October University for Modern Sciences and Arts"/>
    <s v="Cairo"/>
    <x v="4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263"/>
    <s v="SAMN17265995"/>
    <x v="0"/>
    <x v="28"/>
    <s v="PRJNA690827"/>
    <n v="30.03"/>
    <n v="31.23"/>
    <s v="6899ac4e7ea2580472965182"/>
    <s v="SRR13430624"/>
    <s v="v4.0.0"/>
    <s v="Acinetobacter baumannii"/>
    <n v="470"/>
    <s v="Acinetobacter baumannii"/>
    <n v="470"/>
    <s v="Acinetobacter"/>
    <n v="469"/>
    <s v="Acinetobacter"/>
    <s v="NZ_NKXQ01000001.1"/>
    <s v="853/1000"/>
    <n v="0"/>
    <n v="3.9359299999999998E-3"/>
    <s v="Blood culture"/>
    <s v="Human"/>
    <s v="VAP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64"/>
    <s v="SAMN17265994"/>
    <x v="1"/>
    <x v="28"/>
    <s v="PRJNA690827"/>
    <n v="30.03"/>
    <n v="31.23"/>
    <s v="6899ac4e7ea2586265965183"/>
    <s v="SRR13430625"/>
    <s v="v4.0.0"/>
    <s v="Acinetobacter baumannii"/>
    <n v="470"/>
    <s v="Acinetobacter baumannii"/>
    <n v="470"/>
    <s v="Acinetobacter"/>
    <n v="469"/>
    <s v="Acinetobacter"/>
    <s v="NZ_VAOM01000001.1"/>
    <s v="946/1000"/>
    <n v="0"/>
    <n v="1.3400700000000001E-3"/>
    <s v="Sputum"/>
    <s v="Human"/>
    <s v="Chest infection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0"/>
  </r>
  <r>
    <x v="265"/>
    <s v="SAMN17265993"/>
    <x v="0"/>
    <x v="28"/>
    <s v="PRJNA690827"/>
    <n v="30.03"/>
    <n v="31.23"/>
    <s v="6899ac4e7ea258673e965184"/>
    <s v="SRR13430626"/>
    <s v="v4.0.0"/>
    <s v="Acinetobacter baumannii"/>
    <n v="470"/>
    <s v="Acinetobacter baumannii"/>
    <n v="470"/>
    <s v="Acinetobacter"/>
    <n v="469"/>
    <s v="Acinetobacter"/>
    <s v="NZ_NEPX01000100.1"/>
    <s v="833/1000"/>
    <n v="0"/>
    <n v="4.5489700000000003E-3"/>
    <s v="Blood"/>
    <s v="Human"/>
    <s v="Fever 40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1"/>
    <n v="0"/>
    <n v="0"/>
    <x v="51"/>
  </r>
  <r>
    <x v="266"/>
    <s v="SAMN17265992"/>
    <x v="0"/>
    <x v="28"/>
    <s v="PRJNA690827"/>
    <n v="30.03"/>
    <n v="31.23"/>
    <s v="6899ac4e7ea258bda2965185"/>
    <s v="SRR13430627"/>
    <s v="v4.0.0"/>
    <s v="Acinetobacter baumannii"/>
    <n v="470"/>
    <s v="Acinetobacter baumannii"/>
    <n v="470"/>
    <s v="Acinetobacter"/>
    <n v="469"/>
    <s v="Acinetobacter"/>
    <s v="NZ_QKWE01000001.1"/>
    <s v="926/1000"/>
    <n v="0"/>
    <n v="1.86568E-3"/>
    <s v="Wound"/>
    <s v="Human"/>
    <s v="Sub ovarian abscess removal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x v="27"/>
  </r>
  <r>
    <x v="267"/>
    <s v="SAMN17266001"/>
    <x v="0"/>
    <x v="28"/>
    <s v="PRJNA690827"/>
    <n v="30.03"/>
    <n v="31.23"/>
    <s v="6899ac4e7ea2584b6396518a"/>
    <s v="SRR14100602"/>
    <s v="v4.0.0"/>
    <s v="Acinetobacter baumannii"/>
    <n v="470"/>
    <s v="Acinetobacter baumannii"/>
    <n v="470"/>
    <s v="Acinetobacter"/>
    <n v="469"/>
    <s v="Acinetobacter"/>
    <s v="NZ_MWTW01000001.1"/>
    <s v="922/1000"/>
    <n v="0"/>
    <n v="1.9728200000000001E-3"/>
    <s v="pleural"/>
    <s v="Human"/>
    <s v="Pneumonia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x v="27"/>
  </r>
  <r>
    <x v="268"/>
    <s v="SAMN17266004"/>
    <x v="0"/>
    <x v="28"/>
    <s v="PRJNA690827"/>
    <n v="30.03"/>
    <n v="31.23"/>
    <s v="6899ac4e7ea258010196518b"/>
    <s v="SRR14101519"/>
    <s v="v4.0.0"/>
    <s v="Acinetobacter baumannii"/>
    <n v="470"/>
    <s v="Acinetobacter baumannii"/>
    <n v="470"/>
    <s v="Acinetobacter"/>
    <n v="469"/>
    <s v="Acinetobacter"/>
    <s v="NZ_NEPX01000100.1"/>
    <s v="806/1000"/>
    <n v="0"/>
    <n v="5.4113700000000004E-3"/>
    <s v="Urine"/>
    <s v="Human"/>
    <s v="FUO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2"/>
  </r>
  <r>
    <x v="269"/>
    <s v="SAMN17266002"/>
    <x v="0"/>
    <x v="28"/>
    <s v="PRJNA690827"/>
    <n v="30.03"/>
    <n v="31.23"/>
    <s v="6899ac4e7ea258516c96518c"/>
    <s v="SRR14101547"/>
    <s v="v4.0.0"/>
    <s v="Acinetobacter baumannii"/>
    <n v="470"/>
    <s v="Acinetobacter baumannii"/>
    <n v="470"/>
    <s v="Acinetobacter"/>
    <n v="469"/>
    <s v="Acinetobacter"/>
    <s v="NZ_AMDE01000001.1"/>
    <s v="904/1000"/>
    <n v="0"/>
    <n v="2.4635999999999998E-3"/>
    <s v="Blood culture"/>
    <s v="Human"/>
    <s v="FUO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53"/>
  </r>
  <r>
    <x v="270"/>
    <s v="SAMN17266003"/>
    <x v="0"/>
    <x v="28"/>
    <s v="PRJNA690827"/>
    <n v="30.03"/>
    <n v="31.23"/>
    <s v="6899ac4e7ea25816cd96518d"/>
    <s v="SRR14101709"/>
    <s v="v4.0.0"/>
    <s v="Acinetobacter baumannii"/>
    <n v="470"/>
    <s v="Acinetobacter baumannii"/>
    <n v="470"/>
    <s v="Acinetobacter"/>
    <n v="469"/>
    <s v="Acinetobacter"/>
    <s v="NZ_WIHK01000100.1"/>
    <s v="930/1000"/>
    <n v="0"/>
    <n v="1.7592199999999999E-3"/>
    <s v="Wound"/>
    <s v="Human"/>
    <s v="FUO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x v="0"/>
  </r>
  <r>
    <x v="271"/>
    <s v="SAMN17266005"/>
    <x v="0"/>
    <x v="28"/>
    <s v="PRJNA690827"/>
    <n v="30.03"/>
    <n v="31.23"/>
    <s v="6899ac4e7ea258ddfc96518e"/>
    <s v="SRR14101949"/>
    <s v="v4.0.0"/>
    <s v="Acinetobacter baumannii"/>
    <n v="470"/>
    <s v="Acinetobacter baumannii"/>
    <n v="470"/>
    <s v="Acinetobacter"/>
    <n v="469"/>
    <s v="Acinetobacter"/>
    <s v="NZ_AMDE01000001.1"/>
    <s v="923/1000"/>
    <n v="0"/>
    <n v="1.94597E-3"/>
    <s v="Wound"/>
    <s v="Human"/>
    <s v="Burn 7% face and neck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53"/>
  </r>
  <r>
    <x v="272"/>
    <s v="SAMN17266006"/>
    <x v="1"/>
    <x v="28"/>
    <s v="PRJNA690827"/>
    <n v="30.03"/>
    <n v="31.23"/>
    <s v="6899ac4e7ea258581f96518f"/>
    <s v="SRR14102219"/>
    <s v="v4.0.0"/>
    <s v="Acinetobacter baumannii"/>
    <n v="470"/>
    <s v="Acinetobacter baumannii"/>
    <n v="470"/>
    <s v="Acinetobacter"/>
    <n v="469"/>
    <s v="Acinetobacter"/>
    <s v="NZ_UFPQ01000049.1"/>
    <s v="879/1000"/>
    <n v="0"/>
    <n v="3.1696599999999999E-3"/>
    <s v="Blood"/>
    <s v="Human"/>
    <s v="Fever 40"/>
    <s v="Whole genome sequencing of multidrug resistant Acinetobacter baumannii clinical isolates"/>
    <s v="October University for Modern Sciences and Arts"/>
    <s v="Cairo"/>
    <x v="4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x v="0"/>
  </r>
  <r>
    <x v="273"/>
    <s v="SAMN17266007"/>
    <x v="10"/>
    <x v="28"/>
    <s v="PRJNA690827"/>
    <n v="30.03"/>
    <n v="31.23"/>
    <s v="6899ac4e7ea25852d3965190"/>
    <s v="SRR14102306"/>
    <s v="v4.0.0"/>
    <s v="Acinetobacter baumannii"/>
    <n v="470"/>
    <s v="Acinetobacter baumannii"/>
    <n v="470"/>
    <s v="Acinetobacter"/>
    <n v="469"/>
    <s v="Acinetobacter"/>
    <s v="NZ_CM009036.2"/>
    <s v="895/1000"/>
    <n v="0"/>
    <n v="2.7144399999999998E-3"/>
    <s v="Sputum"/>
    <s v="Human"/>
    <s v="Stroke"/>
    <s v="Whole genome sequencing of multidrug resistant Acinetobacter baumannii clinical isolates"/>
    <s v="October University for Modern Sciences and Arts"/>
    <s v="Cairo"/>
    <x v="4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0"/>
    <n v="0"/>
    <x v="0"/>
  </r>
  <r>
    <x v="274"/>
    <s v="SAMN17266008"/>
    <x v="0"/>
    <x v="28"/>
    <s v="PRJNA690827"/>
    <n v="30.03"/>
    <n v="31.23"/>
    <s v="6899ac4e7ea25801e3965191"/>
    <s v="SRR14102521"/>
    <s v="v4.0.0"/>
    <s v="Acinetobacter baumannii"/>
    <n v="470"/>
    <s v="Acinetobacter baumannii"/>
    <n v="470"/>
    <s v="Acinetobacter"/>
    <n v="469"/>
    <s v="Acinetobacter"/>
    <s v="NZ_LKMB01000001.1"/>
    <s v="929/1000"/>
    <n v="0"/>
    <n v="1.7857699999999999E-3"/>
    <s v="Blood"/>
    <s v="Human"/>
    <s v="FUO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x v="27"/>
  </r>
  <r>
    <x v="275"/>
    <s v="SAMN17266009"/>
    <x v="0"/>
    <x v="28"/>
    <s v="PRJNA690827"/>
    <n v="30.03"/>
    <n v="31.23"/>
    <s v="6899ac4e7ea258809c965192"/>
    <s v="SRR14116705"/>
    <s v="v4.0.0"/>
    <s v="Acinetobacter baumannii"/>
    <n v="470"/>
    <s v="Acinetobacter baumannii"/>
    <n v="470"/>
    <s v="Acinetobacter"/>
    <n v="469"/>
    <s v="Acinetobacter"/>
    <s v="NZ_UFKG01000087.1"/>
    <s v="812/1000"/>
    <n v="0"/>
    <n v="5.2161400000000002E-3"/>
    <s v="Blood"/>
    <s v="Human"/>
    <s v="FUO"/>
    <s v="Whole genome sequencing of multidrug resistant Acinetobacter baumannii clinical isolates"/>
    <s v="October University for Modern Sciences and Arts"/>
    <s v="Cairo"/>
    <x v="4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  <r>
    <x v="276"/>
    <s v="SAMN17266010"/>
    <x v="0"/>
    <x v="28"/>
    <s v="PRJNA690827"/>
    <n v="30.03"/>
    <n v="31.23"/>
    <s v="6899ac4e7ea258ee20965193"/>
    <s v="SRR14116736"/>
    <s v="v4.0.0"/>
    <s v="Acinetobacter baumannii"/>
    <n v="470"/>
    <s v="Acinetobacter baumannii"/>
    <n v="470"/>
    <s v="Acinetobacter"/>
    <n v="469"/>
    <s v="Acinetobacter"/>
    <s v="NZ_LYNL01000001.1"/>
    <s v="836/1000"/>
    <n v="0"/>
    <n v="4.4556600000000002E-3"/>
    <s v="Blood"/>
    <s v="Human"/>
    <s v="Splenectomy and feverish"/>
    <s v="Whole genome sequencing of multidrug resistant Acinetobacter baumannii clinical isolates"/>
    <s v="October University for Modern Sciences and Arts"/>
    <s v="Cairo"/>
    <x v="4"/>
    <n v="0"/>
    <n v="0"/>
    <n v="0"/>
    <n v="0"/>
    <n v="1"/>
    <n v="0"/>
    <n v="0"/>
    <n v="0"/>
    <n v="1"/>
    <n v="0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x v="52"/>
  </r>
  <r>
    <x v="277"/>
    <s v="SAMN18520915"/>
    <x v="3"/>
    <x v="2"/>
    <s v="PRJNA718726"/>
    <n v="-29"/>
    <n v="24"/>
    <s v="6899ac4e7ea258f0ea965194"/>
    <s v="SRR14280111"/>
    <s v="v4.0.0"/>
    <s v="Acinetobacter baumannii"/>
    <n v="470"/>
    <s v="Acinetobacter baumannii"/>
    <n v="470"/>
    <s v="Acinetobacter"/>
    <n v="469"/>
    <s v="Acinetobacter"/>
    <s v="NZ_CP051866.1"/>
    <s v="916/1000"/>
    <n v="0"/>
    <n v="2.1348299999999999E-3"/>
    <s v="hospital wastewater"/>
    <m/>
    <m/>
    <s v="Acinetobacter baumannii strain:FG116 Genome sequencing and assembly"/>
    <s v="UKZN"/>
    <m/>
    <x v="2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x v="40"/>
  </r>
  <r>
    <x v="278"/>
    <s v="SAMN18781032"/>
    <x v="9"/>
    <x v="2"/>
    <s v="PRJNA722597"/>
    <n v="-28.3"/>
    <n v="25.3"/>
    <s v="6899ac4e7ea258f3d5965195"/>
    <s v="SRR14455652"/>
    <s v="v4.0.0"/>
    <s v="Acinetobacter baumannii"/>
    <n v="470"/>
    <s v="Acinetobacter baumannii"/>
    <n v="470"/>
    <s v="Acinetobacter"/>
    <n v="469"/>
    <s v="Acinetobacter"/>
    <s v="NZ_CACRXX010000001.1"/>
    <s v="980/1000"/>
    <n v="0"/>
    <n v="4.8344600000000001E-4"/>
    <m/>
    <s v="Human"/>
    <s v="VAP"/>
    <s v="Acinetobacter baumannii strain:FG121 Genome sequencing and assembly"/>
    <s v="UKZN"/>
    <s v="KwaZulu-Natal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279"/>
    <s v="SAMN25722230"/>
    <x v="2"/>
    <x v="29"/>
    <s v="PRJNA804332"/>
    <n v="-1.2833300000000001"/>
    <n v="36.816670000000002"/>
    <s v="628e521072c510001fef718a"/>
    <s v="SRR17931033"/>
    <s v="v3.0.1"/>
    <s v="Acinetobacter baumannii"/>
    <n v="470"/>
    <s v="Acinetobacter baumannii"/>
    <n v="470"/>
    <s v="Acinetobacter"/>
    <n v="469"/>
    <s v="Acinetobacter"/>
    <s v="NZ_JAAEFW010000001.1"/>
    <s v="947/1000"/>
    <n v="0"/>
    <n v="1.31423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x v="10"/>
    <n v="0"/>
    <n v="0"/>
    <n v="1"/>
    <n v="0"/>
    <n v="1"/>
    <n v="0"/>
    <n v="0"/>
    <n v="0"/>
    <n v="1"/>
    <n v="0"/>
    <n v="0"/>
    <n v="1"/>
    <n v="1"/>
    <n v="1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1"/>
    <n v="0"/>
    <n v="0"/>
    <x v="0"/>
  </r>
  <r>
    <x v="280"/>
    <s v="SAMN25722314"/>
    <x v="8"/>
    <x v="29"/>
    <s v="PRJNA804332"/>
    <n v="-1.2833300000000001"/>
    <n v="36.816670000000002"/>
    <s v="628e521072c510001fef718c"/>
    <s v="SRR17931048"/>
    <s v="v3.0.1"/>
    <s v="Acinetobacter baumannii"/>
    <n v="470"/>
    <s v="Acinetobacter baumannii"/>
    <n v="470"/>
    <s v="Acinetobacter"/>
    <n v="469"/>
    <s v="Acinetobacter"/>
    <s v="NZ_VHEV01000001.1"/>
    <s v="826/1000"/>
    <n v="0"/>
    <n v="4.7686200000000003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x v="1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x v="54"/>
  </r>
  <r>
    <x v="281"/>
    <s v="SAMN25722229"/>
    <x v="12"/>
    <x v="29"/>
    <s v="PRJNA804332"/>
    <n v="-1.2833300000000001"/>
    <n v="36.816670000000002"/>
    <s v="628e521072c510001fef718e"/>
    <s v="SRR17931144"/>
    <s v="v3.0.1"/>
    <s v="Acinetobacter baumannii"/>
    <n v="470"/>
    <s v="Acinetobacter baumannii"/>
    <n v="470"/>
    <s v="Acinetobacter"/>
    <n v="469"/>
    <s v="Acinetobacter"/>
    <s v="NZ_VHEE01000001.1"/>
    <s v="871/1000"/>
    <n v="0"/>
    <n v="3.40187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x v="1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1"/>
  </r>
  <r>
    <x v="282"/>
    <s v="SAMN25722228"/>
    <x v="2"/>
    <x v="29"/>
    <s v="PRJNA804332"/>
    <n v="-1.2833300000000001"/>
    <n v="36.816670000000002"/>
    <s v="628e521072c510001fef7190"/>
    <s v="SRR17931145"/>
    <s v="v3.0.1"/>
    <s v="Acinetobacter baumannii"/>
    <n v="470"/>
    <s v="Acinetobacter baumannii"/>
    <n v="470"/>
    <s v="Acinetobacter"/>
    <n v="469"/>
    <s v="Acinetobacter"/>
    <s v="NZ_VHEE01000001.1"/>
    <s v="874/1000"/>
    <n v="0"/>
    <n v="3.3144200000000002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x v="1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x v="1"/>
  </r>
  <r>
    <x v="283"/>
    <s v="SAMN26149365"/>
    <x v="3"/>
    <x v="2"/>
    <s v="PRJNA719017"/>
    <n v="-28.503833"/>
    <n v="30.887500899999999"/>
    <s v="6899ac4e7ea258c9fa965196"/>
    <s v="SRR18114233"/>
    <s v="v4.0.0"/>
    <s v="Acinetobacter baumannii"/>
    <n v="470"/>
    <s v="Acinetobacter baumannii"/>
    <n v="470"/>
    <s v="Acinetobacter"/>
    <n v="469"/>
    <s v="Acinetobacter"/>
    <s v="NZ_CACRXQ010000001.1"/>
    <s v="982/1000"/>
    <n v="0"/>
    <n v="4.3443900000000001E-4"/>
    <s v="hospital wastewater"/>
    <m/>
    <m/>
    <s v="Acinetobacter baumannii Genome sequencing and assembly"/>
    <s v="Zoonosis Science Center"/>
    <s v="KwaZulu-Natal"/>
    <x v="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284"/>
    <s v="SAMN28104610"/>
    <x v="0"/>
    <x v="30"/>
    <s v="PRJNA835506"/>
    <n v="-25.44"/>
    <n v="28.11"/>
    <s v="6899ac4e7ea2586aad965198"/>
    <s v="SRR19107616"/>
    <s v="v4.0.0"/>
    <s v="Acinetobacter baumannii"/>
    <n v="470"/>
    <s v="Acinetobacter baumannii"/>
    <n v="470"/>
    <s v="Acinetobacter"/>
    <n v="469"/>
    <s v="Acinetobacter"/>
    <s v="NZ_CP010781.1"/>
    <s v="920/1000"/>
    <n v="0"/>
    <n v="2.0266500000000001E-3"/>
    <s v="Respiratory tract"/>
    <s v="Human"/>
    <s v="Respiratory infection"/>
    <s v="Other GC1 Acinetobacter baumannii Genome sequencing and assembly"/>
    <s v="The University of Sydney"/>
    <m/>
    <x v="2"/>
    <n v="0"/>
    <n v="0"/>
    <n v="1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x v="1"/>
  </r>
  <r>
    <x v="285"/>
    <s v="SAMN36721169"/>
    <x v="0"/>
    <x v="0"/>
    <s v="PRJNA999198"/>
    <n v="33.886916999999997"/>
    <n v="9.5374990000000004"/>
    <s v="6899f87b7ea258f831966146"/>
    <s v="SRR25445074"/>
    <s v="v4.0.0"/>
    <s v="Acinetobacter baumannii"/>
    <n v="470"/>
    <s v="Acinetobacter baumannii"/>
    <n v="470"/>
    <s v="Acinetobacter"/>
    <n v="469"/>
    <s v="Acinetobacter"/>
    <s v="NZ_NEOV01000010.1"/>
    <s v="948/1000"/>
    <n v="0"/>
    <n v="1.28842E-3"/>
    <s v="Dial devi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286"/>
    <s v="SAMN36721168"/>
    <x v="0"/>
    <x v="0"/>
    <s v="PRJNA999198"/>
    <n v="33.886916999999997"/>
    <n v="9.5374990000000004"/>
    <s v="6899f87b7ea258a83a966147"/>
    <s v="SRR25445075"/>
    <s v="v4.0.0"/>
    <s v="Acinetobacter baumannii"/>
    <n v="470"/>
    <s v="Acinetobacter baumannii"/>
    <n v="470"/>
    <s v="Acinetobacter"/>
    <n v="469"/>
    <s v="Acinetobacter"/>
    <s v="NZ_NEOV01000010.1"/>
    <s v="948/1000"/>
    <n v="0"/>
    <n v="1.28842E-3"/>
    <s v="Bed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287"/>
    <s v="SAMN36721167"/>
    <x v="0"/>
    <x v="0"/>
    <s v="PRJNA999198"/>
    <n v="33.886916999999997"/>
    <n v="9.5374990000000004"/>
    <s v="6899f87b7ea2588243966148"/>
    <s v="SRR25445076"/>
    <s v="v4.0.0"/>
    <s v="Acinetobacter baumannii"/>
    <n v="470"/>
    <s v="Acinetobacter baumannii"/>
    <n v="470"/>
    <s v="Acinetobacter"/>
    <n v="469"/>
    <s v="Acinetobacter"/>
    <s v="NZ_NEOV01000010.1"/>
    <s v="949/1000"/>
    <n v="0"/>
    <n v="1.26264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288"/>
    <s v="SAMN36721166"/>
    <x v="0"/>
    <x v="0"/>
    <s v="PRJNA999198"/>
    <n v="33.886916999999997"/>
    <n v="9.5374990000000004"/>
    <s v="6899f87b7ea25864c4966149"/>
    <s v="SRR25445077"/>
    <s v="v4.0.0"/>
    <s v="Acinetobacter baumannii"/>
    <n v="470"/>
    <s v="Acinetobacter baumannii"/>
    <n v="470"/>
    <s v="Acinetobacter"/>
    <n v="469"/>
    <s v="Acinetobacter"/>
    <s v="NZ_PYEF01000010.1"/>
    <s v="943/1000"/>
    <n v="0"/>
    <n v="1.41786E-3"/>
    <s v="Bed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x v="0"/>
  </r>
  <r>
    <x v="289"/>
    <s v="SAMN36721214"/>
    <x v="0"/>
    <x v="0"/>
    <s v="PRJNA999198"/>
    <n v="33.886916999999997"/>
    <n v="9.5374990000000004"/>
    <s v="6899f87b7ea258345e96614a"/>
    <s v="SRR25445078"/>
    <s v="v4.0.0"/>
    <s v="Acinetobacter baumannii"/>
    <n v="470"/>
    <s v="Acinetobacter baumannii"/>
    <n v="470"/>
    <s v="Acinetobacter"/>
    <n v="469"/>
    <s v="Acinetobacter"/>
    <s v="NZ_UFOW01000054.1"/>
    <s v="942/1000"/>
    <n v="0"/>
    <n v="1.4438700000000001E-3"/>
    <s v="Stethoscop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0"/>
    <s v="SAMN36721213"/>
    <x v="0"/>
    <x v="0"/>
    <s v="PRJNA999198"/>
    <n v="33.886916999999997"/>
    <n v="9.5374990000000004"/>
    <s v="6899f87b7ea258aef096614b"/>
    <s v="SRR25445079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Syringe drive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1"/>
    <s v="SAMN36721212"/>
    <x v="0"/>
    <x v="0"/>
    <s v="PRJNA999198"/>
    <n v="33.886916999999997"/>
    <n v="9.5374990000000004"/>
    <s v="6899f87b7ea2583dbb96614c"/>
    <s v="SRR25445080"/>
    <s v="v4.0.0"/>
    <s v="Acinetobacter baumannii"/>
    <n v="470"/>
    <s v="Acinetobacter baumannii"/>
    <n v="470"/>
    <s v="Acinetobacter"/>
    <n v="469"/>
    <s v="Acinetobacter"/>
    <s v="NZ_UFOW01000054.1"/>
    <s v="948/1000"/>
    <n v="0"/>
    <n v="1.28842E-3"/>
    <s v="Para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2"/>
    <s v="SAMN36721211"/>
    <x v="0"/>
    <x v="0"/>
    <s v="PRJNA999198"/>
    <n v="33.886916999999997"/>
    <n v="9.5374990000000004"/>
    <s v="6899f87b7ea258b68796614d"/>
    <s v="SRR25445081"/>
    <s v="v4.0.0"/>
    <s v="Acinetobacter baumannii"/>
    <n v="470"/>
    <s v="Acinetobacter baumannii"/>
    <n v="470"/>
    <s v="Acinetobacter"/>
    <n v="469"/>
    <s v="Acinetobacter"/>
    <s v="NZ_UFOW01000054.1"/>
    <s v="950/1000"/>
    <n v="0"/>
    <n v="1.23693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3"/>
    <s v="SAMN36721210"/>
    <x v="0"/>
    <x v="0"/>
    <s v="PRJNA999198"/>
    <n v="33.886916999999997"/>
    <n v="9.5374990000000004"/>
    <s v="6899f87b7ea258574596614e"/>
    <s v="SRR25445082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4"/>
    <s v="SAMN36721165"/>
    <x v="0"/>
    <x v="0"/>
    <s v="PRJNA999198"/>
    <n v="33.886916999999997"/>
    <n v="9.5374990000000004"/>
    <s v="6899f87b7ea2581e1496614f"/>
    <s v="SRR25445083"/>
    <s v="v4.0.0"/>
    <s v="Acinetobacter baumannii"/>
    <n v="470"/>
    <s v="Acinetobacter baumannii"/>
    <n v="470"/>
    <s v="Acinetobacter"/>
    <n v="469"/>
    <s v="Acinetobacter"/>
    <s v="NZ_MWTZ01000001.1"/>
    <s v="966/1000"/>
    <n v="0"/>
    <n v="8.3072799999999998E-4"/>
    <s v="Stethoscop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295"/>
    <s v="SAMN36721209"/>
    <x v="0"/>
    <x v="0"/>
    <s v="PRJNA999198"/>
    <n v="33.886916999999997"/>
    <n v="9.5374990000000004"/>
    <s v="6899f87b7ea258a355966150"/>
    <s v="SRR25445084"/>
    <s v="v4.0.0"/>
    <s v="Acinetobacter baumannii"/>
    <n v="470"/>
    <s v="Acinetobacter baumannii"/>
    <n v="470"/>
    <s v="Acinetobacter"/>
    <n v="469"/>
    <s v="Acinetobacter"/>
    <s v="NZ_UFOW01000054.1"/>
    <s v="954/1000"/>
    <n v="0"/>
    <n v="1.1344300000000001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x v="0"/>
  </r>
  <r>
    <x v="296"/>
    <s v="SAMN36721208"/>
    <x v="0"/>
    <x v="0"/>
    <s v="PRJNA999198"/>
    <n v="33.886916999999997"/>
    <n v="9.5374990000000004"/>
    <s v="6899f87b7ea2587010966151"/>
    <s v="SRR25445085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7"/>
    <s v="SAMN36721207"/>
    <x v="0"/>
    <x v="0"/>
    <s v="PRJNA999198"/>
    <n v="33.886916999999997"/>
    <n v="9.5374990000000004"/>
    <s v="6899f87b7ea2582ca5966152"/>
    <s v="SRR25445086"/>
    <s v="v4.0.0"/>
    <s v="Acinetobacter baumannii"/>
    <n v="470"/>
    <s v="Acinetobacter baumannii"/>
    <n v="470"/>
    <s v="Acinetobacter"/>
    <n v="469"/>
    <s v="Acinetobacter"/>
    <s v="NZ_VARI01000001.1"/>
    <s v="946/1000"/>
    <n v="0"/>
    <n v="1.3400700000000001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8"/>
    <s v="SAMN36721206"/>
    <x v="0"/>
    <x v="0"/>
    <s v="PRJNA999198"/>
    <n v="33.886916999999997"/>
    <n v="9.5374990000000004"/>
    <s v="6899f87b7ea258e4a6966153"/>
    <s v="SRR25445087"/>
    <s v="v4.0.0"/>
    <s v="Acinetobacter baumannii"/>
    <n v="470"/>
    <s v="Acinetobacter baumannii"/>
    <n v="470"/>
    <s v="Acinetobacter"/>
    <n v="469"/>
    <s v="Acinetobacter"/>
    <s v="NZ_UFOW01000054.1"/>
    <s v="948/1000"/>
    <n v="0"/>
    <n v="1.28842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299"/>
    <s v="SAMN36721205"/>
    <x v="0"/>
    <x v="0"/>
    <s v="PRJNA999198"/>
    <n v="33.886916999999997"/>
    <n v="9.5374990000000004"/>
    <s v="6899f87b7ea2584544966154"/>
    <s v="SRR25445088"/>
    <s v="v4.0.0"/>
    <s v="Acinetobacter baumannii"/>
    <n v="470"/>
    <s v="Acinetobacter baumannii"/>
    <n v="470"/>
    <s v="Acinetobacter"/>
    <n v="469"/>
    <s v="Acinetobacter"/>
    <s v="NZ_UFOW01000054.1"/>
    <s v="937/1000"/>
    <n v="0"/>
    <n v="1.57453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0"/>
    <s v="SAMN36721204"/>
    <x v="0"/>
    <x v="0"/>
    <s v="PRJNA999198"/>
    <n v="33.886916999999997"/>
    <n v="9.5374990000000004"/>
    <s v="6899f87b7ea258db82966155"/>
    <s v="SRR25445089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1"/>
    <s v="SAMN36721203"/>
    <x v="0"/>
    <x v="0"/>
    <s v="PRJNA999198"/>
    <n v="33.886916999999997"/>
    <n v="9.5374990000000004"/>
    <s v="6899f87b7ea258877e966156"/>
    <s v="SRR25445090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Syringe drive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2"/>
    <s v="SAMN36721202"/>
    <x v="0"/>
    <x v="0"/>
    <s v="PRJNA999198"/>
    <n v="33.886916999999997"/>
    <n v="9.5374990000000004"/>
    <s v="6899f87b7ea2584e1f966157"/>
    <s v="SRR25445091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Refrigerator handl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3"/>
    <s v="SAMN36721201"/>
    <x v="0"/>
    <x v="0"/>
    <s v="PRJNA999198"/>
    <n v="33.886916999999997"/>
    <n v="9.5374990000000004"/>
    <s v="6899f87b7ea258d1dc966158"/>
    <s v="SRR25445092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4"/>
    <s v="SAMN36721200"/>
    <x v="0"/>
    <x v="0"/>
    <s v="PRJNA999198"/>
    <n v="33.886916999999997"/>
    <n v="9.5374990000000004"/>
    <s v="6899f87b7ea2583568966159"/>
    <s v="SRR25445093"/>
    <s v="v4.0.0"/>
    <s v="Acinetobacter baumannii"/>
    <n v="470"/>
    <s v="Acinetobacter baumannii"/>
    <n v="470"/>
    <s v="Acinetobacter"/>
    <n v="469"/>
    <s v="Acinetobacter"/>
    <s v="NZ_VARI01000001.1"/>
    <s v="459/1000"/>
    <n v="0"/>
    <n v="2.20623E-2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5"/>
    <s v="SAMN36721164"/>
    <x v="0"/>
    <x v="0"/>
    <s v="PRJNA999198"/>
    <n v="33.886916999999997"/>
    <n v="9.5374990000000004"/>
    <s v="6899f87b7ea258950596615a"/>
    <s v="SRR25445094"/>
    <s v="v4.0.0"/>
    <s v="Acinetobacter baumannii"/>
    <n v="470"/>
    <s v="Acinetobacter baumannii"/>
    <n v="470"/>
    <s v="Acinetobacter"/>
    <n v="469"/>
    <s v="Acinetobacter"/>
    <s v="NZ_VHGP01000001.1"/>
    <s v="986/1000"/>
    <n v="0"/>
    <n v="3.36872E-4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306"/>
    <s v="SAMN36721199"/>
    <x v="0"/>
    <x v="0"/>
    <s v="PRJNA999198"/>
    <n v="33.886916999999997"/>
    <n v="9.5374990000000004"/>
    <s v="6899f87b7ea258845e96615b"/>
    <s v="SRR25445095"/>
    <s v="v4.0.0"/>
    <s v="Acinetobacter baumannii"/>
    <n v="470"/>
    <s v="Acinetobacter baumannii"/>
    <n v="470"/>
    <s v="Acinetobacter"/>
    <n v="469"/>
    <s v="Acinetobacter"/>
    <s v="NZ_UFOW01000054.1"/>
    <s v="941/1000"/>
    <n v="0"/>
    <n v="1.46992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7"/>
    <s v="SAMN36721198"/>
    <x v="0"/>
    <x v="0"/>
    <s v="PRJNA999198"/>
    <n v="33.886916999999997"/>
    <n v="9.5374990000000004"/>
    <s v="6899f87b7ea258e78d96615c"/>
    <s v="SRR25445096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8"/>
    <s v="SAMN36721197"/>
    <x v="0"/>
    <x v="0"/>
    <s v="PRJNA999198"/>
    <n v="33.886916999999997"/>
    <n v="9.5374990000000004"/>
    <s v="6899f87b7ea258d8a496615d"/>
    <s v="SRR25445097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09"/>
    <s v="SAMN36721196"/>
    <x v="0"/>
    <x v="0"/>
    <s v="PRJNA999198"/>
    <n v="33.886916999999997"/>
    <n v="9.5374990000000004"/>
    <s v="6899f87b7ea2586e1896615e"/>
    <s v="SRR25445098"/>
    <s v="v4.0.0"/>
    <s v="Acinetobacter baumannii"/>
    <n v="470"/>
    <s v="Acinetobacter baumannii"/>
    <n v="470"/>
    <s v="Acinetobacter"/>
    <n v="469"/>
    <s v="Acinetobacter"/>
    <s v="NZ_UFOW01000054.1"/>
    <s v="945/1000"/>
    <n v="0"/>
    <n v="1.36596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0"/>
    <s v="SAMN36721195"/>
    <x v="0"/>
    <x v="0"/>
    <s v="PRJNA999198"/>
    <n v="33.886916999999997"/>
    <n v="9.5374990000000004"/>
    <s v="6899f87b7ea2585bb696615f"/>
    <s v="SRR25445099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Bed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1"/>
    <s v="SAMN36721194"/>
    <x v="0"/>
    <x v="0"/>
    <s v="PRJNA999198"/>
    <n v="33.886916999999997"/>
    <n v="9.5374990000000004"/>
    <s v="6899f87b7ea2585b6e966160"/>
    <s v="SRR25445100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2"/>
    <s v="SAMN36721193"/>
    <x v="0"/>
    <x v="0"/>
    <s v="PRJNA999198"/>
    <n v="33.886916999999997"/>
    <n v="9.5374990000000004"/>
    <s v="6899f87b7ea258165f966161"/>
    <s v="SRR25445101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Respiratory assistance devi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3"/>
    <s v="SAMN36721192"/>
    <x v="0"/>
    <x v="0"/>
    <s v="PRJNA999198"/>
    <n v="33.886916999999997"/>
    <n v="9.5374990000000004"/>
    <s v="6899f87b7ea258e4fc966162"/>
    <s v="SRR25445102"/>
    <s v="v4.0.0"/>
    <s v="Acinetobacter baumannii"/>
    <n v="470"/>
    <s v="Acinetobacter baumannii"/>
    <n v="470"/>
    <s v="Acinetobacter"/>
    <n v="469"/>
    <s v="Acinetobacter"/>
    <s v="NZ_UFOW01000054.1"/>
    <s v="946/1000"/>
    <n v="0"/>
    <n v="1.3400700000000001E-3"/>
    <s v="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4"/>
    <s v="SAMN36721191"/>
    <x v="0"/>
    <x v="0"/>
    <s v="PRJNA999198"/>
    <n v="33.886916999999997"/>
    <n v="9.5374990000000004"/>
    <s v="6899f87b7ea25897bd966163"/>
    <s v="SRR25445103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5"/>
    <s v="SAMN36721190"/>
    <x v="0"/>
    <x v="0"/>
    <s v="PRJNA999198"/>
    <n v="33.886916999999997"/>
    <n v="9.5374990000000004"/>
    <s v="6899f87b7ea2583ee7966164"/>
    <s v="SRR25445104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6"/>
    <s v="SAMN36721163"/>
    <x v="0"/>
    <x v="0"/>
    <s v="PRJNA999198"/>
    <n v="33.886916999999997"/>
    <n v="9.5374990000000004"/>
    <s v="6899f87b7ea2587cd2966165"/>
    <s v="SRR25445105"/>
    <s v="v4.0.0"/>
    <s v="Acinetobacter baumannii"/>
    <n v="470"/>
    <s v="Acinetobacter baumannii"/>
    <n v="470"/>
    <s v="Acinetobacter"/>
    <n v="469"/>
    <s v="Acinetobacter"/>
    <s v="NZ_VHGP01000001.1"/>
    <s v="980/1000"/>
    <n v="0"/>
    <n v="4.8344600000000001E-4"/>
    <s v="Defibrilato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317"/>
    <s v="SAMN36721189"/>
    <x v="0"/>
    <x v="0"/>
    <s v="PRJNA999198"/>
    <n v="33.886916999999997"/>
    <n v="9.5374990000000004"/>
    <s v="6899f87b7ea25863e2966166"/>
    <s v="SRR25445106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8"/>
    <s v="SAMN36721188"/>
    <x v="0"/>
    <x v="0"/>
    <s v="PRJNA999198"/>
    <n v="33.886916999999997"/>
    <n v="9.5374990000000004"/>
    <s v="6899f87b7ea2581bf9966167"/>
    <s v="SRR25445107"/>
    <s v="v4.0.0"/>
    <s v="Acinetobacter baumannii"/>
    <n v="470"/>
    <s v="Acinetobacter baumannii"/>
    <n v="470"/>
    <s v="Acinetobacter"/>
    <n v="469"/>
    <s v="Acinetobacter"/>
    <s v="NZ_UFOW01000054.1"/>
    <s v="945/1000"/>
    <n v="0"/>
    <n v="1.36596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19"/>
    <s v="SAMN36721187"/>
    <x v="0"/>
    <x v="0"/>
    <s v="PRJNA999198"/>
    <n v="33.886916999999997"/>
    <n v="9.5374990000000004"/>
    <s v="6899f87b7ea25819c4966168"/>
    <s v="SRR25445108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0"/>
    <s v="SAMN36721186"/>
    <x v="0"/>
    <x v="0"/>
    <s v="PRJNA999198"/>
    <n v="33.886916999999997"/>
    <n v="9.5374990000000004"/>
    <s v="6899f87b7ea2583714966169"/>
    <s v="SRR25445109"/>
    <s v="v4.0.0"/>
    <s v="Acinetobacter baumannii"/>
    <n v="470"/>
    <s v="Acinetobacter baumannii"/>
    <n v="470"/>
    <s v="Acinetobacter"/>
    <n v="469"/>
    <s v="Acinetobacter"/>
    <s v="NZ_UFOW01000054.1"/>
    <s v="941/1000"/>
    <n v="0"/>
    <n v="1.46992E-3"/>
    <s v="Disinfectant dispense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1"/>
    <s v="SAMN36721185"/>
    <x v="0"/>
    <x v="0"/>
    <s v="PRJNA999198"/>
    <n v="33.886916999999997"/>
    <n v="9.5374990000000004"/>
    <s v="6899f87b7ea2586f3696616a"/>
    <s v="SRR25445110"/>
    <s v="v4.0.0"/>
    <s v="Acinetobacter baumannii"/>
    <n v="470"/>
    <s v="Acinetobacter baumannii"/>
    <n v="470"/>
    <s v="Acinetobacter"/>
    <n v="469"/>
    <s v="Acinetobacter"/>
    <s v="NZ_UFOW01000054.1"/>
    <s v="956/1000"/>
    <n v="0"/>
    <n v="1.0834200000000001E-3"/>
    <s v="ECG devi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2"/>
    <s v="SAMN36721184"/>
    <x v="0"/>
    <x v="0"/>
    <s v="PRJNA999198"/>
    <n v="33.886916999999997"/>
    <n v="9.5374990000000004"/>
    <s v="6899f87b7ea2588ef996616b"/>
    <s v="SRR25445111"/>
    <s v="v4.0.0"/>
    <s v="Acinetobacter baumannii"/>
    <n v="470"/>
    <s v="Acinetobacter baumannii"/>
    <n v="470"/>
    <s v="Acinetobacter"/>
    <n v="469"/>
    <s v="Acinetobacter"/>
    <s v="NZ_JQSD01000001.1"/>
    <s v="951/1000"/>
    <n v="0"/>
    <n v="1.21123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3"/>
    <s v="SAMN36721183"/>
    <x v="0"/>
    <x v="0"/>
    <s v="PRJNA999198"/>
    <n v="33.886916999999997"/>
    <n v="9.5374990000000004"/>
    <s v="6899f87b7ea25822c496616c"/>
    <s v="SRR25445112"/>
    <s v="v4.0.0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IV pol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4"/>
    <s v="SAMN36721182"/>
    <x v="0"/>
    <x v="0"/>
    <s v="PRJNA999198"/>
    <n v="33.886916999999997"/>
    <n v="9.5374990000000004"/>
    <s v="6899f87b7ea258b54496616d"/>
    <s v="SRR25445113"/>
    <s v="v4.0.0"/>
    <s v="Acinetobacter baumannii"/>
    <n v="470"/>
    <s v="Acinetobacter baumannii"/>
    <n v="470"/>
    <s v="Acinetobacter"/>
    <n v="469"/>
    <s v="Acinetobacter"/>
    <s v="NZ_UFOW01000054.1"/>
    <s v="923/1000"/>
    <n v="0"/>
    <n v="1.94597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5"/>
    <s v="SAMN36721181"/>
    <x v="0"/>
    <x v="0"/>
    <s v="PRJNA999198"/>
    <n v="33.886916999999997"/>
    <n v="9.5374990000000004"/>
    <s v="6899f87b7ea2582a1b96616e"/>
    <s v="SRR25445114"/>
    <s v="v4.0.0"/>
    <s v="Acinetobacter baumannii"/>
    <n v="470"/>
    <s v="Acinetobacter baumannii"/>
    <n v="470"/>
    <s v="Acinetobacter"/>
    <n v="469"/>
    <s v="Acinetobacter"/>
    <s v="NZ_UFOW01000054.1"/>
    <s v="950/1000"/>
    <n v="0"/>
    <n v="1.23693E-3"/>
    <s v="Bed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6"/>
    <s v="SAMN36721180"/>
    <x v="0"/>
    <x v="0"/>
    <s v="PRJNA999198"/>
    <n v="33.886916999999997"/>
    <n v="9.5374990000000004"/>
    <s v="6899f87b7ea25893a196616f"/>
    <s v="SRR25445115"/>
    <s v="v4.0.0"/>
    <s v="Acinetobacter baumannii"/>
    <n v="470"/>
    <s v="Acinetobacter baumannii"/>
    <n v="470"/>
    <s v="Acinetobacter"/>
    <n v="469"/>
    <s v="Acinetobacter"/>
    <s v="NZ_UFOW01000054.1"/>
    <s v="946/1000"/>
    <n v="0"/>
    <n v="1.3400700000000001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7"/>
    <s v="SAMN36721162"/>
    <x v="0"/>
    <x v="0"/>
    <s v="PRJNA999198"/>
    <n v="33.886916999999997"/>
    <n v="9.5374990000000004"/>
    <s v="6899f87b7ea2586d51966170"/>
    <s v="SRR25445116"/>
    <s v="v4.0.0"/>
    <s v="Acinetobacter baumannii"/>
    <n v="470"/>
    <s v="Acinetobacter baumannii"/>
    <n v="470"/>
    <s v="Acinetobacter"/>
    <n v="469"/>
    <s v="Acinetobacter"/>
    <s v="NZ_MWTZ01000001.1"/>
    <s v="973/1000"/>
    <n v="0"/>
    <n v="6.5615400000000005E-4"/>
    <s v="Soap dispense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328"/>
    <s v="SAMN36721179"/>
    <x v="0"/>
    <x v="0"/>
    <s v="PRJNA999198"/>
    <n v="33.886916999999997"/>
    <n v="9.5374990000000004"/>
    <s v="689a7f017bc55516fae4839c"/>
    <s v="SRR25445117"/>
    <s v="v4.0.0"/>
    <s v="Acinetobacter baumannii"/>
    <n v="470"/>
    <s v="Acinetobacter baumannii"/>
    <n v="470"/>
    <s v="Acinetobacter"/>
    <n v="469"/>
    <s v="Acinetobacter"/>
    <s v="NZ_UFOW01000054.1"/>
    <s v="930/1000"/>
    <n v="0"/>
    <n v="1.7592199999999999E-3"/>
    <s v="Stethoscop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29"/>
    <s v="SAMN36721178"/>
    <x v="0"/>
    <x v="0"/>
    <s v="PRJNA999198"/>
    <n v="33.886916999999997"/>
    <n v="9.5374990000000004"/>
    <s v="689a7f017bc555246be48372"/>
    <s v="SRR25445118"/>
    <s v="v4.0.0"/>
    <s v="Acinetobacter baumannii"/>
    <n v="470"/>
    <s v="Acinetobacter baumannii"/>
    <n v="470"/>
    <s v="Acinetobacter"/>
    <n v="469"/>
    <s v="Acinetobacter"/>
    <s v="NZ_JQSD01000001.1"/>
    <s v="948/1000"/>
    <n v="0"/>
    <n v="1.28842E-3"/>
    <s v="Paramedical personnel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0"/>
    <s v="SAMN36721177"/>
    <x v="0"/>
    <x v="0"/>
    <s v="PRJNA999198"/>
    <n v="33.886916999999997"/>
    <n v="9.5374990000000004"/>
    <s v="689a7f017bc555d05ae48373"/>
    <s v="SRR25445119"/>
    <s v="v4.0.0"/>
    <s v="Acinetobacter baumannii"/>
    <n v="470"/>
    <s v="Acinetobacter baumannii"/>
    <n v="470"/>
    <s v="Acinetobacter"/>
    <n v="469"/>
    <s v="Acinetobacter"/>
    <s v="NZ_UFOW01000054.1"/>
    <s v="944/1000"/>
    <n v="0"/>
    <n v="1.39189E-3"/>
    <s v="Bed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1"/>
    <s v="SAMN36721176"/>
    <x v="0"/>
    <x v="0"/>
    <s v="PRJNA999198"/>
    <n v="33.886916999999997"/>
    <n v="9.5374990000000004"/>
    <s v="689a7f017bc5554435e48374"/>
    <s v="SRR25445120"/>
    <s v="v4.0.0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Defibrilato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2"/>
    <s v="SAMN36721175"/>
    <x v="0"/>
    <x v="0"/>
    <s v="PRJNA999198"/>
    <n v="33.886916999999997"/>
    <n v="9.5374990000000004"/>
    <s v="689a7f017bc555cf03e48375"/>
    <s v="SRR25445121"/>
    <s v="v4.0.0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3"/>
    <s v="SAMN36721174"/>
    <x v="0"/>
    <x v="0"/>
    <s v="PRJNA999198"/>
    <n v="33.886916999999997"/>
    <n v="9.5374990000000004"/>
    <s v="689a7f017bc55544b8e48376"/>
    <s v="SRR25445122"/>
    <s v="v4.0.0"/>
    <s v="Acinetobacter baumannii"/>
    <n v="470"/>
    <s v="Acinetobacter baumannii"/>
    <n v="470"/>
    <s v="Acinetobacter"/>
    <n v="469"/>
    <s v="Acinetobacter"/>
    <s v="NZ_NEPI01000010.1"/>
    <s v="948/1000"/>
    <n v="0"/>
    <n v="1.28842E-3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4"/>
    <s v="SAMN36721173"/>
    <x v="0"/>
    <x v="0"/>
    <s v="PRJNA999198"/>
    <n v="33.886916999999997"/>
    <n v="9.5374990000000004"/>
    <s v="689a7f017bc5554692e48377"/>
    <s v="SRR25445123"/>
    <s v="v4.0.0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Soap dispenser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5"/>
    <s v="SAMN36721172"/>
    <x v="0"/>
    <x v="0"/>
    <s v="PRJNA999198"/>
    <n v="33.886916999999997"/>
    <n v="9.5374990000000004"/>
    <s v="689a7f017bc5555ae8e48378"/>
    <s v="SRR25445124"/>
    <s v="v4.0.0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Furniture surfa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6"/>
    <s v="SAMN36721171"/>
    <x v="0"/>
    <x v="0"/>
    <s v="PRJNA999198"/>
    <n v="33.886916999999997"/>
    <n v="9.5374990000000004"/>
    <s v="689a7f017bc555b203e48379"/>
    <s v="SRR25445125"/>
    <s v="v4.0.0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patient"/>
    <s v="Human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7"/>
    <s v="SAMN36721170"/>
    <x v="0"/>
    <x v="0"/>
    <s v="PRJNA999198"/>
    <n v="33.886916999999997"/>
    <n v="9.5374990000000004"/>
    <s v="689a7f017bc5555fe4e4837a"/>
    <s v="SRR25445126"/>
    <s v="v4.0.0"/>
    <s v="Acinetobacter baumannii"/>
    <n v="470"/>
    <s v="Acinetobacter baumannii"/>
    <n v="470"/>
    <s v="Acinetobacter"/>
    <n v="469"/>
    <s v="Acinetobacter"/>
    <s v="NZ_VAFR01000001.1"/>
    <s v="951/1000"/>
    <n v="0"/>
    <n v="1.2112399999999999E-3"/>
    <s v="Furniture surfa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x v="0"/>
  </r>
  <r>
    <x v="338"/>
    <s v="SAMN36721161"/>
    <x v="0"/>
    <x v="0"/>
    <s v="PRJNA999198"/>
    <n v="33.886916999999997"/>
    <n v="9.5374990000000004"/>
    <s v="689a7f017bc5559515e4837b"/>
    <s v="SRR25445127"/>
    <s v="v4.0.0"/>
    <s v="Acinetobacter baumannii"/>
    <n v="470"/>
    <s v="Acinetobacter baumannii"/>
    <n v="470"/>
    <s v="Acinetobacter"/>
    <n v="469"/>
    <s v="Acinetobacter"/>
    <s v="NZ_MWTZ01000001.1"/>
    <s v="958/1000"/>
    <n v="0"/>
    <n v="1.0325600000000001E-3"/>
    <s v="Furniture surface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339"/>
    <s v="SAMN36721160"/>
    <x v="0"/>
    <x v="0"/>
    <s v="PRJNA999198"/>
    <n v="33.886916999999997"/>
    <n v="9.5374990000000004"/>
    <s v="689a7f017bc5554d24e4837c"/>
    <s v="SRR25445128"/>
    <s v="v4.0.0"/>
    <s v="Acinetobacter baumannii"/>
    <n v="470"/>
    <s v="Acinetobacter baumannii"/>
    <n v="470"/>
    <s v="Acinetobacter"/>
    <n v="469"/>
    <s v="Acinetobacter"/>
    <s v="NZ_VHGP01000001.1"/>
    <s v="987/1000"/>
    <n v="0"/>
    <n v="3.1257300000000002E-4"/>
    <s v="Care cart"/>
    <s v="N/A"/>
    <m/>
    <s v="Healthcare environment Acinetobacter baumannii in Tunisian"/>
    <s v="ANSES"/>
    <m/>
    <x v="11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x v="27"/>
  </r>
  <r>
    <x v="340"/>
    <s v="SAMN40205360"/>
    <x v="13"/>
    <x v="0"/>
    <s v="PRJNA1082310"/>
    <n v="-24.65"/>
    <n v="25.9"/>
    <s v="689a7f017bc5558276e4837e"/>
    <s v="SRR28167554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1"/>
    <s v="SAMN40205359"/>
    <x v="13"/>
    <x v="0"/>
    <s v="PRJNA1082310"/>
    <n v="-24.65"/>
    <n v="25.9"/>
    <s v="689a7f017bc5554e13e4837f"/>
    <s v="SRR28167555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2"/>
    <s v="SAMN40205358"/>
    <x v="6"/>
    <x v="0"/>
    <s v="PRJNA1082310"/>
    <n v="-24.65"/>
    <n v="25.9"/>
    <s v="689a7f017bc5553d55e48380"/>
    <s v="SRR28167556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3"/>
    <s v="SAMN40205341"/>
    <x v="8"/>
    <x v="0"/>
    <s v="PRJNA1082310"/>
    <n v="-24.65"/>
    <n v="25.9"/>
    <s v="689a7f017bc555fb91e48381"/>
    <s v="SRR28167557"/>
    <s v="v4.0.0"/>
    <s v="Acinetobacter baumannii"/>
    <n v="470"/>
    <s v="Acinetobacter baumannii"/>
    <n v="470"/>
    <s v="Acinetobacter"/>
    <n v="469"/>
    <s v="Acinetobacter"/>
    <s v="NZ_RFBY01000001.1"/>
    <s v="748/1000"/>
    <n v="0"/>
    <n v="7.4132099999999999E-3"/>
    <s v="Sink basin"/>
    <s v="Environment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5"/>
  </r>
  <r>
    <x v="344"/>
    <s v="SAMN40205357"/>
    <x v="6"/>
    <x v="0"/>
    <s v="PRJNA1082310"/>
    <n v="-24.65"/>
    <n v="25.9"/>
    <s v="689a7f017bc555323ee48382"/>
    <s v="SRR28167558"/>
    <s v="v4.0.0"/>
    <s v="Acinetobacter baumannii"/>
    <n v="470"/>
    <s v="Acinetobacter baumannii"/>
    <n v="470"/>
    <s v="Acinetobacter"/>
    <n v="469"/>
    <s v="Acinetobacter"/>
    <s v="NZ_QFBX01000001.1"/>
    <s v="851/1000"/>
    <n v="0"/>
    <n v="3.9962900000000004E-3"/>
    <s v="Blood"/>
    <s v="Human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6"/>
  </r>
  <r>
    <x v="345"/>
    <s v="SAMN40205356"/>
    <x v="6"/>
    <x v="0"/>
    <s v="PRJNA1082310"/>
    <n v="-24.65"/>
    <n v="25.9"/>
    <s v="689a7f017bc555a00ee48383"/>
    <s v="SRR28167559"/>
    <s v="v4.0.0"/>
    <s v="Acinetobacter baumannii"/>
    <n v="470"/>
    <s v="Acinetobacter baumannii"/>
    <n v="470"/>
    <s v="Acinetobacter"/>
    <n v="469"/>
    <s v="Acinetobacter"/>
    <s v="NZ_CACRYG010000001.1"/>
    <s v="998/1000"/>
    <n v="0"/>
    <s v="4.76906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6"/>
    <s v="SAMN40205355"/>
    <x v="11"/>
    <x v="0"/>
    <s v="PRJNA1082310"/>
    <n v="-24.65"/>
    <n v="25.9"/>
    <s v="689a7f017bc555070ee48384"/>
    <s v="SRR28167560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7"/>
    <s v="SAMN40205354"/>
    <x v="9"/>
    <x v="1"/>
    <s v="PRJNA1082310"/>
    <n v="-24.65"/>
    <n v="25.9"/>
    <s v="689a7f017bc5555a71e48385"/>
    <s v="SRR28167561"/>
    <s v="v4.0.0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8"/>
    <s v="SAMN40205353"/>
    <x v="9"/>
    <x v="1"/>
    <s v="PRJNA1082310"/>
    <n v="-24.65"/>
    <n v="25.9"/>
    <s v="689a7f017bc55530cbe48386"/>
    <s v="SRR28167562"/>
    <s v="v4.0.0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49"/>
    <s v="SAMN40205352"/>
    <x v="9"/>
    <x v="1"/>
    <s v="PRJNA1082310"/>
    <n v="-24.65"/>
    <n v="25.9"/>
    <s v="689a7f017bc555099be48387"/>
    <s v="SRR28167563"/>
    <s v="v4.0.0"/>
    <s v="Acinetobacter baumannii"/>
    <n v="470"/>
    <s v="Acinetobacter baumannii"/>
    <n v="470"/>
    <s v="Acinetobacter"/>
    <n v="469"/>
    <s v="Acinetobacter"/>
    <s v="NZ_JAAGTZ010000001.1"/>
    <s v="850/1000"/>
    <n v="0"/>
    <n v="4.0265400000000003E-3"/>
    <s v="Blood"/>
    <s v="Human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7"/>
  </r>
  <r>
    <x v="350"/>
    <s v="SAMN40205351"/>
    <x v="10"/>
    <x v="0"/>
    <s v="PRJNA1082310"/>
    <n v="-24.65"/>
    <n v="25.9"/>
    <s v="689a7f017bc5553b03e48388"/>
    <s v="SRR28167564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1"/>
    <s v="SAMN40205350"/>
    <x v="5"/>
    <x v="1"/>
    <s v="PRJNA1082310"/>
    <n v="-24.65"/>
    <n v="25.9"/>
    <s v="689a7f017bc5555f5fe48389"/>
    <s v="SRR28167565"/>
    <s v="v4.0.0"/>
    <s v="Acinetobacter baumannii"/>
    <n v="470"/>
    <s v="Acinetobacter baumannii"/>
    <n v="470"/>
    <s v="Acinetobacter"/>
    <n v="469"/>
    <s v="Acinetobacter"/>
    <s v="NZ_CACRYG010000001.1"/>
    <s v="983/1000"/>
    <n v="0"/>
    <n v="4.0999199999999997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2"/>
    <s v="SAMN40205349"/>
    <x v="5"/>
    <x v="1"/>
    <s v="PRJNA1082310"/>
    <n v="-24.65"/>
    <n v="25.9"/>
    <s v="689a7f017bc5557a89e4838a"/>
    <s v="SRR28167566"/>
    <s v="v4.0.0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3"/>
    <s v="SAMN40205348"/>
    <x v="5"/>
    <x v="0"/>
    <s v="PRJNA1082310"/>
    <n v="-24.65"/>
    <n v="25.9"/>
    <s v="689a7f017bc555b485e4838b"/>
    <s v="SRR28167567"/>
    <s v="v4.0.0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4"/>
    <s v="SAMN40205347"/>
    <x v="3"/>
    <x v="1"/>
    <s v="PRJNA1082310"/>
    <n v="-24.65"/>
    <n v="25.9"/>
    <s v="689a7f017bc555e5c3e4838c"/>
    <s v="SRR28167569"/>
    <s v="v4.0.0"/>
    <s v="Acinetobacter baumannii"/>
    <n v="470"/>
    <s v="Acinetobacter baumannii"/>
    <n v="470"/>
    <s v="Acinetobacter"/>
    <n v="469"/>
    <s v="Acinetobacter"/>
    <s v="NZ_OVBZ01000056.1"/>
    <s v="521/1000"/>
    <n v="0"/>
    <n v="1.80108E-2"/>
    <s v="Blood"/>
    <s v="Human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2"/>
  </r>
  <r>
    <x v="355"/>
    <s v="SAMN40205346"/>
    <x v="3"/>
    <x v="0"/>
    <s v="PRJNA1082310"/>
    <n v="-24.65"/>
    <n v="25.9"/>
    <s v="689a7f017bc5555c97e4838d"/>
    <s v="SRR28167570"/>
    <s v="v4.0.0"/>
    <s v="Acinetobacter baumannii"/>
    <n v="470"/>
    <s v="Acinetobacter baumannii"/>
    <n v="470"/>
    <s v="Acinetobacter"/>
    <n v="469"/>
    <s v="Acinetobacter"/>
    <s v="NZ_CACRYG010000001.1"/>
    <s v="985/1000"/>
    <n v="0"/>
    <n v="3.6120800000000002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x v="1"/>
  </r>
  <r>
    <x v="356"/>
    <s v="SAMN40205345"/>
    <x v="12"/>
    <x v="0"/>
    <s v="PRJNA1082310"/>
    <n v="-24.65"/>
    <n v="25.9"/>
    <s v="689a7f017bc5552eeee4838e"/>
    <s v="SRR28167571"/>
    <s v="v4.0.0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7"/>
    <s v="SAMN40205344"/>
    <x v="12"/>
    <x v="1"/>
    <s v="PRJNA1082310"/>
    <n v="-24.65"/>
    <n v="25.9"/>
    <s v="689a7f017bc5556223e4838f"/>
    <s v="SRR28167572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8"/>
    <s v="SAMN40205325"/>
    <x v="9"/>
    <x v="1"/>
    <s v="PRJNA1082310"/>
    <n v="-24.65"/>
    <n v="25.9"/>
    <s v="689a7f017bc5556d8be48390"/>
    <s v="SRR28167573"/>
    <s v="v4.0.0"/>
    <s v="Acinetobacter baumannii"/>
    <n v="470"/>
    <s v="Acinetobacter baumannii"/>
    <n v="470"/>
    <s v="Acinetobacter"/>
    <n v="469"/>
    <s v="Acinetobacter"/>
    <s v="NZ_CACRYG010000001.1"/>
    <s v="992/1000"/>
    <n v="0"/>
    <n v="1.91626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59"/>
    <s v="SAMN40205324"/>
    <x v="9"/>
    <x v="1"/>
    <s v="PRJNA1082310"/>
    <n v="-24.65"/>
    <n v="25.9"/>
    <s v="689a7f017bc5556c8ee48391"/>
    <s v="SRR28167574"/>
    <s v="v4.0.0"/>
    <s v="Acinetobacter baumannii"/>
    <n v="470"/>
    <s v="Acinetobacter baumannii"/>
    <n v="470"/>
    <s v="Acinetobacter"/>
    <n v="469"/>
    <s v="Acinetobacter"/>
    <s v="NZ_CACRYG010000001.1"/>
    <s v="992/1000"/>
    <n v="0"/>
    <n v="1.91626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0"/>
    <s v="SAMN40205323"/>
    <x v="9"/>
    <x v="1"/>
    <s v="PRJNA1082310"/>
    <n v="-24.65"/>
    <n v="25.9"/>
    <s v="689a7f017bc5555b69e48392"/>
    <s v="SRR28167575"/>
    <s v="v4.0.0"/>
    <s v="Acinetobacter baumannii"/>
    <n v="470"/>
    <s v="Acinetobacter baumannii"/>
    <n v="470"/>
    <s v="Acinetobacter"/>
    <n v="469"/>
    <s v="Acinetobacter"/>
    <s v="NZ_CACRYG010000001.1"/>
    <s v="991/1000"/>
    <n v="0"/>
    <n v="2.15742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0"/>
    <n v="0"/>
    <n v="0"/>
    <x v="1"/>
  </r>
  <r>
    <x v="361"/>
    <s v="SAMN40205322"/>
    <x v="9"/>
    <x v="1"/>
    <s v="PRJNA1082310"/>
    <n v="-24.65"/>
    <n v="25.9"/>
    <s v="689a7f017bc555eb15e48393"/>
    <s v="SRR28167576"/>
    <s v="v4.0.0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2"/>
    <s v="SAMN40205321"/>
    <x v="3"/>
    <x v="1"/>
    <s v="PRJNA1082310"/>
    <n v="-24.65"/>
    <n v="25.9"/>
    <s v="689a7f017bc5551f00e48394"/>
    <s v="SRR28167577"/>
    <s v="v4.0.0"/>
    <s v="Acinetobacter baumannii"/>
    <n v="470"/>
    <s v="Acinetobacter baumannii"/>
    <n v="470"/>
    <s v="Acinetobacter"/>
    <n v="469"/>
    <s v="Acinetobacter"/>
    <s v="NZ_RFCR01000018.1"/>
    <s v="927/1000"/>
    <n v="0"/>
    <n v="1.8389999999999999E-3"/>
    <s v="Blood"/>
    <s v="Human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8"/>
  </r>
  <r>
    <x v="363"/>
    <s v="SAMN40205320"/>
    <x v="8"/>
    <x v="0"/>
    <s v="PRJNA1082310"/>
    <n v="-24.65"/>
    <n v="25.9"/>
    <s v="689a7f017bc5551251e48395"/>
    <s v="SRR28167578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4"/>
    <s v="SAMN40205337"/>
    <x v="8"/>
    <x v="0"/>
    <s v="PRJNA1082310"/>
    <n v="-24.65"/>
    <n v="25.9"/>
    <s v="689a7f017bc5552a0ae48396"/>
    <s v="SRR28167579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Hand swab"/>
    <s v="Human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5"/>
    <s v="SAMN40205326"/>
    <x v="8"/>
    <x v="0"/>
    <s v="PRJNA1082310"/>
    <n v="-24.65"/>
    <n v="25.9"/>
    <s v="689a7f017bc555791ee48398"/>
    <s v="SRR28167581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Environmental swab"/>
    <s v="Environment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6"/>
    <s v="SAMN40205343"/>
    <x v="8"/>
    <x v="0"/>
    <s v="PRJNA1082310"/>
    <n v="-24.65"/>
    <n v="25.9"/>
    <s v="689a7f017bc5550219e48399"/>
    <s v="SRR28167582"/>
    <s v="v4.0.0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Sink basin"/>
    <s v="Environment"/>
    <m/>
    <s v="Botswana_Acinetobacter_baumannii"/>
    <s v="Children's Hospital of Philadelphia"/>
    <m/>
    <x v="12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x v="1"/>
  </r>
  <r>
    <x v="367"/>
    <s v="SAMN40205340"/>
    <x v="8"/>
    <x v="0"/>
    <s v="PRJNA1082310"/>
    <n v="-24.65"/>
    <n v="25.9"/>
    <s v="689a7f017bc555954be4839a"/>
    <s v="SRR28167584"/>
    <s v="v4.0.0"/>
    <s v="Acinetobacter baumannii"/>
    <n v="470"/>
    <s v="Acinetobacter baumannii"/>
    <n v="470"/>
    <s v="Acinetobacter"/>
    <n v="469"/>
    <s v="Acinetobacter"/>
    <s v="NZ_RFBY01000001.1"/>
    <s v="748/1000"/>
    <n v="0"/>
    <n v="7.4132099999999999E-3"/>
    <s v="Sink plumbing trap"/>
    <s v="Environment"/>
    <m/>
    <s v="Botswana_Acinetobacter_baumannii"/>
    <s v="Children's Hospital of Philadelphia"/>
    <m/>
    <x v="1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55"/>
  </r>
  <r>
    <x v="368"/>
    <s v="SAMN41107056"/>
    <x v="8"/>
    <x v="31"/>
    <s v="PRJNA835506"/>
    <n v="21"/>
    <n v="105.83"/>
    <s v="689a7f017bc5550cd2e4839b"/>
    <s v="SRR28824822"/>
    <s v="v4.0.0"/>
    <s v="Acinetobacter baumannii"/>
    <n v="470"/>
    <s v="Acinetobacter baumannii"/>
    <n v="470"/>
    <s v="Acinetobacter"/>
    <n v="469"/>
    <s v="Acinetobacter"/>
    <s v="NZ_UCTL02000001.1"/>
    <s v="998/1000"/>
    <n v="0"/>
    <s v="4.76906e-05"/>
    <s v="Carriage"/>
    <s v="Human"/>
    <m/>
    <s v="Other GC1 Acinetobacter baumannii Genome sequencing and assembly"/>
    <s v="The University of Sydney"/>
    <m/>
    <x v="13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x v="1"/>
  </r>
  <r>
    <x v="369"/>
    <s v="SAMN09768096"/>
    <x v="0"/>
    <x v="32"/>
    <s v="PRJNA411997"/>
    <n v="6.6665999999999999"/>
    <n v="-1.6163000000000001"/>
    <s v="6899ac4e7ea25805e896517c"/>
    <s v="SRR8618098"/>
    <s v="v4.0.0"/>
    <s v="Acinetobacter baumannii"/>
    <n v="470"/>
    <s v="Acinetobacter baumannii"/>
    <n v="470"/>
    <s v="Acinetobacter"/>
    <n v="469"/>
    <s v="Acinetobacter"/>
    <s v="NZ_QTKC01000085.1"/>
    <s v="995/1000"/>
    <n v="0"/>
    <n v="1.19496E-4"/>
    <s v="urethral swab"/>
    <s v="Human"/>
    <s v="Uritritis"/>
    <s v="MDR ESKAPE pathogens"/>
    <s v="_x000a_Norwegian National Advisory Unit on Detection of Antimicrobial Resistance"/>
    <s v="Kumasi"/>
    <x v="8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7"/>
  </r>
  <r>
    <x v="370"/>
    <s v="SAMN07692765"/>
    <x v="2"/>
    <x v="32"/>
    <s v="PRJNA411997"/>
    <n v="6.6665999999999999"/>
    <n v="-1.6163000000000001"/>
    <s v="6899ac4e7ea258a92896517d"/>
    <s v="SRR8618099"/>
    <s v="v4.0.0"/>
    <s v="Acinetobacter baumannii"/>
    <n v="470"/>
    <s v="Acinetobacter baumannii"/>
    <n v="470"/>
    <s v="Acinetobacter"/>
    <n v="469"/>
    <s v="Acinetobacter"/>
    <s v="NZ_QTKC01000085.1"/>
    <s v="997/1000"/>
    <n v="0"/>
    <s v="7.15897e-05"/>
    <s v="Urine"/>
    <s v="Human"/>
    <s v="UTI"/>
    <s v="MDR ESKAPE pathogens"/>
    <s v="_x000a_Norwegian National Advisory Unit on Detection of Antimicrobial Resistance"/>
    <s v="Kumasi"/>
    <x v="8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x v="7"/>
  </r>
  <r>
    <x v="371"/>
    <s v="SAMN11096027"/>
    <x v="2"/>
    <x v="29"/>
    <s v="PRJNA526336"/>
    <n v="15.16"/>
    <n v="31.5"/>
    <s v="6899ac4e7ea25866c896517e"/>
    <s v="SRR9017260"/>
    <s v="v4.0.0"/>
    <s v="Acinetobacter baumannii"/>
    <n v="470"/>
    <s v="Acinetobacter baumannii"/>
    <n v="470"/>
    <s v="Acinetobacter"/>
    <n v="469"/>
    <s v="Acinetobacter"/>
    <s v="NZ_SOYV01000001.1"/>
    <s v="999/1000"/>
    <n v="0"/>
    <s v="2.38274e-05"/>
    <s v="sputum"/>
    <s v="Human"/>
    <s v="Pneumonia"/>
    <s v="Whole-Genome Sequencing for Detecting Antimicrobial Resistance in Acinetobacter baumannii isolated from Sudan"/>
    <s v="National University Biomedical Research Institute"/>
    <s v="Khartoum"/>
    <x v="14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s v="ERR10710700"/>
    <s v="SAMEA112258678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63/1000"/>
    <n v="0"/>
    <n v="9.0612400000000001E-4"/>
    <s v="Pus - Nosocomial human infection - ICU_x000a_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10702"/>
    <s v="SAMEA112258680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56/1000"/>
    <n v="0"/>
    <n v="1.0834200000000001E-3"/>
    <s v="Pus - Nosocomial human infection - ICU_x000a_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10703"/>
    <s v="SAMEA112258681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Blood - Nosocomial human infection - ICU_x000a_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10705"/>
    <s v="SAMEA112258683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rotected specimen brushing (PSB) - Nosocomial human infection - Intensive care unit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10706"/>
    <s v="SAMEA112258684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OSU010000001.1"/>
    <s v="966/1000"/>
    <n v="0"/>
    <n v="8.3072799999999998E-4"/>
    <s v="Cerebrospinal fluid (CSF) - Nosocomial human infection - Intensive care unit"/>
    <s v="Human"/>
    <s v="infection"/>
    <s v="Carbapenemase-Producing gram-negative bacteria in Djibouti city, Djibouti"/>
    <s v="Universite de Limoges"/>
    <s v="Djibouti"/>
    <s v="Republic of Djibouti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10710707"/>
    <s v="SAMEA112258685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us - Nosocomial human infection - Otorhinolaryngology unit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10709"/>
    <s v="SAMEA112258687"/>
    <s v="-"/>
    <x v="0"/>
    <s v="PRJEB58617"/>
    <n v="11.8145966"/>
    <n v="42.845306100000002"/>
    <s v="Acinetobacter baumannii"/>
    <n v="470"/>
    <s v="Acinetobacter baumannii"/>
    <n v="470"/>
    <s v="Acinetobacter"/>
    <n v="469"/>
    <s v="Acinetobacter"/>
    <s v="NZ_JAAEFQ010000001.1"/>
    <s v="971/1000"/>
    <n v="0"/>
    <n v="7.0584100000000002E-4"/>
    <s v="Pus - Nosocomial human infection - Intensive care unit"/>
    <s v="Human"/>
    <s v="infection"/>
    <s v="Carbapenemase-Producing gram-negative bacteria in Djibouti city, Djibouti"/>
    <s v="Universite de Limoges"/>
    <s v="Djibouti"/>
    <s v="Republic of Djibouti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ERR10782663"/>
    <s v="SAMEA112328298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RHYF01000100.1"/>
    <s v="567/1000"/>
    <n v="0"/>
    <n v="1.54006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782668"/>
    <s v="SAMEA112328303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VST01000001.1"/>
    <s v="891/1000"/>
    <n v="0"/>
    <n v="2.8271199999999998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-"/>
  </r>
  <r>
    <s v="ERR10782671"/>
    <s v="SAMEA112328305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AAGSF010000001.1"/>
    <s v="905/1000"/>
    <n v="0"/>
    <n v="2.43596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03"/>
  </r>
  <r>
    <s v="ERR10782676"/>
    <s v="SAMEA112328312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409"/>
  </r>
  <r>
    <s v="ERR10782680"/>
    <s v="SAMEA112328316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QCXT01000001.1"/>
    <s v="701/1000"/>
    <n v="0"/>
    <n v="9.20554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214"/>
  </r>
  <r>
    <s v="ERR10782688"/>
    <s v="SAMEA112328322"/>
    <m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WWCH01000001.1"/>
    <s v="917/1000"/>
    <n v="0"/>
    <n v="2.1077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n v="126"/>
  </r>
  <r>
    <s v="ERR10782695"/>
    <s v="SAMEA112328326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UFIQ01000049.1"/>
    <s v="897/1000"/>
    <n v="0"/>
    <n v="2.65838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"/>
  </r>
  <r>
    <s v="ERR10782717"/>
    <s v="SAMEA112328354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86/1000"/>
    <n v="0"/>
    <n v="6.07760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"/>
  </r>
  <r>
    <s v="ERR10782743"/>
    <s v="SAMEA112328363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783123"/>
    <s v="SAMEA112328301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RFEE01000001.1"/>
    <s v="556/1000"/>
    <n v="0"/>
    <n v="1.5997999999999998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2215"/>
  </r>
  <r>
    <s v="ERR10783128"/>
    <s v="SAMEA112328309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IWP01000085.1"/>
    <s v="889/1000"/>
    <n v="0"/>
    <n v="2.88374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821"/>
  </r>
  <r>
    <s v="ERR10783132"/>
    <s v="SAMEA112328311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57/1000"/>
    <n v="0"/>
    <n v="1.057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s v="-"/>
  </r>
  <r>
    <s v="ERR10783138"/>
    <s v="SAMEA112328319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38/1000"/>
    <n v="0"/>
    <n v="7.780920000000000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4"/>
  </r>
  <r>
    <s v="ERR10783144"/>
    <s v="SAMEA112328327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Q01000032.1"/>
    <s v="915/1000"/>
    <n v="0"/>
    <n v="2.161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n v="973"/>
  </r>
  <r>
    <s v="ERR10783153"/>
    <s v="SAMEA112328335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59/1000"/>
    <n v="0"/>
    <n v="1.0072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10783156"/>
    <s v="SAMEA112328338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40/1000"/>
    <n v="0"/>
    <n v="1.49601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32"/>
  </r>
  <r>
    <s v="ERR10783159"/>
    <s v="SAMEA112328341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AAGSF010000001.1"/>
    <s v="903/1000"/>
    <n v="0"/>
    <n v="2.4912900000000002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03"/>
  </r>
  <r>
    <s v="ERR10783163"/>
    <s v="SAMEA112328347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10783166"/>
    <s v="SAMEA112328348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VST01000001.1"/>
    <s v="892/1000"/>
    <n v="0"/>
    <n v="2.79888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21"/>
  </r>
  <r>
    <s v="ERR10783178"/>
    <s v="SAMEA112328413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HEI01000001.1"/>
    <s v="914/1000"/>
    <n v="0"/>
    <n v="2.18918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n v="973"/>
  </r>
  <r>
    <s v="ERR10787957"/>
    <s v="SAMEA112328318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32/1000"/>
    <n v="0"/>
    <n v="8.00497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7"/>
  </r>
  <r>
    <s v="ERR10787959"/>
    <s v="SAMEA112328321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784/1000"/>
    <n v="0"/>
    <n v="6.1455800000000003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787961"/>
    <s v="SAMEA112328325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HEI01000001.1"/>
    <s v="911/1000"/>
    <n v="0"/>
    <n v="2.2710400000000002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n v="973"/>
  </r>
  <r>
    <s v="ERR10788033"/>
    <s v="SAMEA112328342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P014649.1"/>
    <s v="956/1000"/>
    <n v="0"/>
    <n v="1.08342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622"/>
  </r>
  <r>
    <s v="ERR10788115"/>
    <s v="SAMEA112328360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HDV01000001.1"/>
    <s v="928/1000"/>
    <n v="0"/>
    <n v="1.8123600000000001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1"/>
    <n v="1"/>
    <n v="0"/>
    <n v="1"/>
    <n v="0"/>
    <n v="0"/>
    <n v="78"/>
  </r>
  <r>
    <s v="ERR10788118"/>
    <s v="SAMEA112328386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QCXT01000001.1"/>
    <s v="769/1000"/>
    <n v="0"/>
    <n v="6.6634099999999998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516"/>
  </r>
  <r>
    <s v="ERR10788121"/>
    <s v="SAMEA112328411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XGU01000001.1"/>
    <s v="978/1000"/>
    <n v="0"/>
    <n v="5.3260299999999998E-4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10794274"/>
    <s v="SAMEA112328307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WWCH01000001.1"/>
    <s v="896/1000"/>
    <n v="0"/>
    <n v="2.6863899999999999E-3"/>
    <s v="Sputun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s v="-"/>
  </r>
  <r>
    <s v="ERR10794308"/>
    <s v="SAMEA112328330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HEI01000001.1"/>
    <s v="914/1000"/>
    <n v="0"/>
    <n v="2.18918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n v="973"/>
  </r>
  <r>
    <s v="ERR10794316"/>
    <s v="SAMEA112328340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40/1000"/>
    <n v="0"/>
    <n v="1.4960100000000001E-3"/>
    <s v="stool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32"/>
  </r>
  <r>
    <s v="ERR10794327"/>
    <s v="SAMEA112328350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P014649.1"/>
    <s v="957/1000"/>
    <n v="0"/>
    <n v="1.05797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622"/>
  </r>
  <r>
    <s v="ERR10802836"/>
    <s v="SAMEA112328317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39/1000"/>
    <n v="0"/>
    <n v="7.743830000000000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4"/>
  </r>
  <r>
    <s v="ERR10802837"/>
    <s v="SAMEA112328343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AAGSF010000001.1"/>
    <s v="909/1000"/>
    <n v="0"/>
    <n v="2.32584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03"/>
  </r>
  <r>
    <s v="ERR10805899"/>
    <s v="SAMEA112328384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08103"/>
    <s v="SAMEA112328310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32/1000"/>
    <n v="0"/>
    <n v="1.7062399999999999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10808115"/>
    <s v="SAMEA112328332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13/1000"/>
    <n v="0"/>
    <n v="8.7320399999999999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s v="-"/>
  </r>
  <r>
    <s v="ERR10808136"/>
    <s v="SAMEA112328410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47/1000"/>
    <n v="0"/>
    <n v="1.31423E-3"/>
    <s v="Bloo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</r>
  <r>
    <s v="ERR10809417"/>
    <s v="SAMEA112328333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59/1000"/>
    <n v="0"/>
    <n v="1.0072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10809418"/>
    <s v="SAMEA112328351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BKDD01000001.1"/>
    <s v="779/1000"/>
    <n v="0"/>
    <n v="6.3165900000000004E-3"/>
    <s v="pleural aspirat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3"/>
  </r>
  <r>
    <s v="ERR10812834"/>
    <s v="SAMEA112328297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NWQ01000001.1"/>
    <s v="762/1000"/>
    <n v="0"/>
    <n v="6.91005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6"/>
  </r>
  <r>
    <s v="ERR10812835"/>
    <s v="SAMEA112328304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P021345.1"/>
    <s v="962/1000"/>
    <n v="0"/>
    <n v="9.3133400000000002E-4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s v="-"/>
  </r>
  <r>
    <s v="ERR10812836"/>
    <s v="SAMEA112328308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P021345.1"/>
    <s v="958/1000"/>
    <n v="0"/>
    <n v="1.0325600000000001E-3"/>
    <s v="Urine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149"/>
  </r>
  <r>
    <s v="ERR10812837"/>
    <s v="SAMEA112328314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KK211418.1"/>
    <s v="856/1000"/>
    <n v="0"/>
    <n v="3.84578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10812838"/>
    <s v="SAMEA112328315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P018677.1"/>
    <s v="865/1000"/>
    <n v="0"/>
    <n v="3.57808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10812839"/>
    <s v="SAMEA112328323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WWCH01000001.1"/>
    <s v="916/1000"/>
    <n v="0"/>
    <n v="2.13482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0"/>
    <n v="126"/>
  </r>
  <r>
    <s v="ERR10812840"/>
    <s v="SAMEA112328328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UFIQ01000049.1"/>
    <s v="894/1000"/>
    <n v="0"/>
    <n v="2.74253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"/>
  </r>
  <r>
    <s v="ERR10812841"/>
    <s v="SAMEA112328331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UFJT01000029.1"/>
    <s v="491/1000"/>
    <n v="0"/>
    <n v="1.98862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s v="-"/>
  </r>
  <r>
    <s v="ERR10812867"/>
    <s v="SAMEA112328339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35/1000"/>
    <n v="0"/>
    <n v="1.6270900000000001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32"/>
  </r>
  <r>
    <s v="ERR10812868"/>
    <s v="SAMEA112328349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QCXT01000001.1"/>
    <s v="556/1000"/>
    <n v="0"/>
    <n v="1.5997999999999998E-2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2215"/>
  </r>
  <r>
    <s v="ERR10812869"/>
    <s v="SAMEA112328358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CF01000068.1"/>
    <s v="786/1000"/>
    <n v="0"/>
    <n v="6.0776099999999998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12870"/>
    <s v="SAMEA112328361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9/1000"/>
    <n v="0"/>
    <n v="5.31348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12871"/>
    <s v="SAMEA112328385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IWP01000085.1"/>
    <s v="889/1000"/>
    <n v="0"/>
    <n v="2.88374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1"/>
  </r>
  <r>
    <s v="ERR10812872"/>
    <s v="SAMEA112328412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MSPL01000001.1"/>
    <s v="532/1000"/>
    <n v="0"/>
    <n v="1.7358999999999999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177"/>
  </r>
  <r>
    <s v="ERR10812873"/>
    <s v="SAMEA112328415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NND01000001.1"/>
    <s v="559/1000"/>
    <n v="0"/>
    <n v="1.58335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s v="-"/>
  </r>
  <r>
    <s v="ERR10820997"/>
    <s v="SAMEA112328306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31/1000"/>
    <n v="0"/>
    <n v="1.7327099999999999E-3"/>
    <s v="Wound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1"/>
    <n v="1"/>
    <n v="1"/>
    <n v="1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32"/>
  </r>
  <r>
    <s v="ERR10852925"/>
    <s v="SAMEA112328299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RHYF01000100.1"/>
    <s v="567/1000"/>
    <n v="0"/>
    <n v="1.54006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52926"/>
    <s v="SAMEA112328300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UFJT01000029.1"/>
    <s v="491/1000"/>
    <n v="0"/>
    <n v="1.98862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s v="-"/>
  </r>
  <r>
    <s v="ERR10852929"/>
    <s v="SAMEA112328302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VST01000001.1"/>
    <s v="893/1000"/>
    <n v="0"/>
    <n v="2.77069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21"/>
  </r>
  <r>
    <s v="ERR10852931"/>
    <s v="SAMEA112328313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KK211418.1"/>
    <s v="849/1000"/>
    <n v="0"/>
    <n v="4.0568499999999999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0"/>
  </r>
  <r>
    <s v="ERR10852932"/>
    <s v="SAMEA112328320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DS01000139.1"/>
    <s v="732/1000"/>
    <n v="0"/>
    <n v="8.004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4"/>
  </r>
  <r>
    <s v="ERR10852933"/>
    <s v="SAMEA112328324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XGU01000001.1"/>
    <s v="976/1000"/>
    <n v="0"/>
    <n v="5.8191000000000004E-4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10852935"/>
    <s v="SAMEA112328329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MSPL01000001.1"/>
    <s v="533/1000"/>
    <n v="0"/>
    <n v="1.7300599999999999E-2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177"/>
  </r>
  <r>
    <s v="ERR10852936"/>
    <s v="SAMEA112328334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P021345.1"/>
    <s v="948/1000"/>
    <n v="0"/>
    <n v="1.28842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149"/>
  </r>
  <r>
    <s v="ERR10852938"/>
    <s v="SAMEA112328336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KK211418.1"/>
    <s v="842/1000"/>
    <n v="0"/>
    <n v="4.27048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0"/>
  </r>
  <r>
    <s v="ERR10852993"/>
    <s v="SAMEA112328337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KK211418.1"/>
    <s v="863/1000"/>
    <n v="0"/>
    <n v="3.6372100000000001E-3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0"/>
  </r>
  <r>
    <s v="ERR10852995"/>
    <s v="SAMEA112328344"/>
    <s v="-"/>
    <x v="1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CVLD01000001.1"/>
    <s v="960/1000"/>
    <n v="0"/>
    <n v="9.8187100000000005E-4"/>
    <m/>
    <m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10852996"/>
    <s v="SAMEA112328352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25/1000"/>
    <n v="0"/>
    <n v="8.26968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9"/>
  </r>
  <r>
    <s v="ERR10853648"/>
    <s v="SAMEA112328353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AAGTI010000001.1"/>
    <s v="732/1000"/>
    <n v="0"/>
    <n v="8.0049700000000001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99"/>
  </r>
  <r>
    <s v="ERR10854234"/>
    <s v="SAMEA112328355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JMOD01000001.1"/>
    <s v="788/1000"/>
    <n v="0"/>
    <n v="6.0098900000000004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"/>
  </r>
  <r>
    <s v="ERR10854472"/>
    <s v="SAMEA112328356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4/1000"/>
    <n v="0"/>
    <n v="5.47691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54473"/>
    <s v="SAMEA112328357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4/1000"/>
    <n v="0"/>
    <n v="5.47691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54474"/>
    <s v="SAMEA112328359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NGHR01000009.1"/>
    <s v="808/1000"/>
    <n v="0"/>
    <n v="5.3460599999999997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ERR10854475"/>
    <s v="SAMEA112328362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VHFN01000001.1"/>
    <s v="943/1000"/>
    <n v="0"/>
    <n v="1.41786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</r>
  <r>
    <s v="ERR10854476"/>
    <s v="SAMEA112328387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UFKC01000171.1"/>
    <s v="877/1000"/>
    <n v="0"/>
    <n v="3.22741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03"/>
  </r>
  <r>
    <s v="ERR10854480"/>
    <s v="SAMEA112328388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50/1000"/>
    <n v="0"/>
    <n v="1.23693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</r>
  <r>
    <s v="ERR10854483"/>
    <s v="SAMEA112328409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FCZ02000003.1"/>
    <s v="949/1000"/>
    <n v="0"/>
    <n v="1.2626499999999999E-3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</r>
  <r>
    <s v="ERR10854484"/>
    <s v="SAMEA112328414"/>
    <s v="-"/>
    <x v="0"/>
    <s v="PRJEB58695"/>
    <n v="7.3487200000000001"/>
    <n v="3.8792900000000001"/>
    <s v="Acinetobacter baumannii"/>
    <n v="470"/>
    <s v="Acinetobacter baumannii"/>
    <n v="470"/>
    <s v="Acinetobacter"/>
    <n v="469"/>
    <s v="Acinetobacter"/>
    <s v="NZ_ANND01000001.1"/>
    <s v="555/1000"/>
    <n v="0"/>
    <n v="1.6053100000000001E-2"/>
    <s v="Rectal swab"/>
    <s v="Human"/>
    <m/>
    <s v="SEQAFRICA, a regional initiative of the UK Fleming Fund engages in whole genome sequencing of bacteria of antimicrobial resistance importance to support surveillance in Africa. "/>
    <s v="Global Health Research Unit for the Genomic Surveillance of Antimicrobial Resistance, Ibadan"/>
    <s v="Ibadan"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2215"/>
  </r>
  <r>
    <s v="ERR3569448"/>
    <s v="SAMEA5987517"/>
    <s v="Jan"/>
    <x v="2"/>
    <s v="PRJEB34692"/>
    <n v="-33.913809999999998"/>
    <n v="18.614446999999998"/>
    <s v="Acinetobacter baumannii"/>
    <n v="470"/>
    <s v="Acinetobacter baumannii"/>
    <n v="470"/>
    <s v="Acinetobacter"/>
    <n v="469"/>
    <s v="Acinetobacter"/>
    <s v="NZ_CACRXQ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n v="1"/>
  </r>
  <r>
    <s v="ERR3569449"/>
    <s v="SAMEA5987518"/>
    <s v="Jan"/>
    <x v="2"/>
    <s v="PRJEB34692"/>
    <n v="-33.913809999999998"/>
    <n v="18.614446999999998"/>
    <s v="Acinetobacter baumannii"/>
    <n v="470"/>
    <s v="Acinetobacter baumannii"/>
    <n v="470"/>
    <s v="Acinetobacter"/>
    <n v="469"/>
    <s v="Acinetobacter"/>
    <s v="NZ_CACRYG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n v="1"/>
  </r>
  <r>
    <s v="ERR3569450"/>
    <s v="SAMEA5987519"/>
    <s v="Jan"/>
    <x v="2"/>
    <s v="PRJEB34692"/>
    <n v="-33.913809999999998"/>
    <n v="18.614446999999998"/>
    <s v="Acinetobacter baumannii"/>
    <n v="470"/>
    <s v="Acinetobacter baumannii"/>
    <n v="470"/>
    <s v="Acinetobacter"/>
    <n v="469"/>
    <s v="Acinetobacter"/>
    <s v="NZ_CACRXQ010000001.1"/>
    <s v="1000/1000"/>
    <n v="0"/>
    <n v="0"/>
    <s v="clinical material"/>
    <s v="Human"/>
    <m/>
    <s v="Colistin resistant Acinetobacter baumannii in Cape Town, South Africa"/>
    <s v="Universitaetsklinikum Freiburg"/>
    <s v="Cape Town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n v="1"/>
  </r>
  <r>
    <s v="ERR3569451"/>
    <s v="SAMEA5987520"/>
    <s v="Jan"/>
    <x v="2"/>
    <s v="PRJEB34692"/>
    <n v="-33.913809999999998"/>
    <n v="18.614446999999998"/>
    <s v="Acinetobacter baumannii"/>
    <n v="470"/>
    <s v="Acinetobacter baumannii"/>
    <n v="470"/>
    <s v="Acinetobacter"/>
    <n v="469"/>
    <s v="Acinetobacter"/>
    <s v="NZ_CACRXQ010000001.1"/>
    <s v="999/1000"/>
    <n v="0"/>
    <s v="2.38274e-05"/>
    <s v="clinical material"/>
    <s v="Human"/>
    <m/>
    <s v="Colistin resistant Acinetobacter baumannii in Cape Town, South Africa"/>
    <s v="Universitaetsklinikum Freiburg"/>
    <s v="Cape Town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n v="1"/>
  </r>
  <r>
    <s v="ERR4436595"/>
    <s v="SAMEA7171649"/>
    <m/>
    <x v="3"/>
    <s v="PRJEB27899"/>
    <n v="32"/>
    <n v="-6"/>
    <s v="Acinetobacter baumannii"/>
    <n v="470"/>
    <s v="Acinetobacter baumannii"/>
    <n v="470"/>
    <s v="Acinetobacter"/>
    <n v="469"/>
    <s v="Acinetobacter"/>
    <s v="NZ_VHEH01000001.1"/>
    <s v="918/1000"/>
    <n v="0"/>
    <n v="2.0806499999999999E-3"/>
    <m/>
    <s v="Human"/>
    <m/>
    <s v="Molecular epidemiology of carbapenem-resistant Acinetobacter baumanni"/>
    <s v="University of Cologne"/>
    <m/>
    <s v="Morocco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10"/>
  </r>
  <r>
    <s v="ERR4436596"/>
    <s v="SAMEA7171650"/>
    <m/>
    <x v="3"/>
    <s v="PRJEB27899"/>
    <n v="32"/>
    <n v="-6"/>
    <s v="Acinetobacter baumannii"/>
    <n v="470"/>
    <s v="Acinetobacter baumannii"/>
    <n v="470"/>
    <s v="Acinetobacter"/>
    <n v="469"/>
    <s v="Acinetobacter"/>
    <s v="NZ_VARI01000001.1"/>
    <s v="988/1000"/>
    <n v="0"/>
    <n v="2.8831000000000001E-4"/>
    <m/>
    <s v="Human"/>
    <m/>
    <s v="Molecular epidemiology of carbapenem-resistant Acinetobacter baumanni"/>
    <s v="University of Cologne"/>
    <m/>
    <s v="Morocco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4436597"/>
    <s v="SAMEA7171651"/>
    <m/>
    <x v="3"/>
    <s v="PRJEB27899"/>
    <n v="32"/>
    <n v="-6"/>
    <s v="Acinetobacter baumannii"/>
    <n v="470"/>
    <s v="Acinetobacter baumannii"/>
    <n v="470"/>
    <s v="Acinetobacter"/>
    <n v="469"/>
    <s v="Acinetobacter"/>
    <s v="NZ_VARJ01000001.1"/>
    <s v="986/1000"/>
    <n v="0"/>
    <n v="3.36872E-4"/>
    <m/>
    <s v="Human"/>
    <m/>
    <s v="Molecular epidemiology of carbapenem-resistant Acinetobacter baumanni"/>
    <s v="University of Cologne"/>
    <m/>
    <s v="Morocco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4436754"/>
    <s v="SAMEA7171860"/>
    <m/>
    <x v="3"/>
    <s v="PRJEB27899"/>
    <n v="26"/>
    <n v="29"/>
    <s v="Acinetobacter baumannii"/>
    <n v="470"/>
    <s v="Acinetobacter baumannii"/>
    <n v="470"/>
    <s v="Acinetobacter"/>
    <n v="469"/>
    <s v="Acinetobacter"/>
    <s v="NZ_PRHX01000001.1"/>
    <s v="912/1000"/>
    <n v="0"/>
    <n v="2.2437099999999999E-3"/>
    <m/>
    <s v="Human"/>
    <m/>
    <s v="Molecular epidemiology of carbapenem-resistant Acinetobacter baumanni"/>
    <s v="University of Cologne"/>
    <m/>
    <s v="Egypt"/>
    <n v="0"/>
    <n v="0"/>
    <n v="1"/>
    <n v="0"/>
    <n v="1"/>
    <n v="0"/>
    <n v="0"/>
    <n v="0"/>
    <n v="1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4783167"/>
    <s v="SAMEA615606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RHXW01000010.1"/>
    <s v="506/1000"/>
    <n v="0"/>
    <n v="1.89299E-2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s v="-"/>
  </r>
  <r>
    <s v="ERR4783172"/>
    <s v="SAMEA615607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FG01000001.1"/>
    <s v="830/1000"/>
    <n v="0"/>
    <n v="4.6427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1"/>
    <n v="1"/>
    <n v="0"/>
    <n v="0"/>
    <n v="0"/>
    <n v="0"/>
    <n v="1093"/>
  </r>
  <r>
    <s v="ERR4783180"/>
    <s v="SAMEA615607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73/1000"/>
    <n v="0"/>
    <n v="6.5615400000000005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783186"/>
    <s v="SAMEA615607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188"/>
    <s v="SAMEA615608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194"/>
    <s v="SAMEA615608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IWP01000085.1"/>
    <s v="926/1000"/>
    <n v="0"/>
    <n v="1.8656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21"/>
  </r>
  <r>
    <s v="ERR4783195"/>
    <s v="SAMEA615609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00"/>
    <s v="SAMEA615611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LN868200.1"/>
    <s v="915/1000"/>
    <n v="0"/>
    <n v="2.161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67"/>
  </r>
  <r>
    <s v="ERR4783203"/>
    <s v="SAMEA615609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08"/>
    <s v="SAMEA615609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783214"/>
    <s v="SAMEA615609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VLD01000001.1"/>
    <s v="974/1000"/>
    <n v="0"/>
    <n v="6.3136799999999999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783216"/>
    <s v="SAMEA615610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22"/>
    <s v="SAMEA615610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7/1000"/>
    <n v="0"/>
    <n v="3.1257300000000002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85"/>
  </r>
  <r>
    <s v="ERR4783223"/>
    <s v="SAMEA615610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28"/>
    <s v="SAMEA615610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BX01000001.1"/>
    <s v="964/1000"/>
    <n v="0"/>
    <n v="8.8095299999999997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85"/>
  </r>
  <r>
    <s v="ERR4783231"/>
    <s v="SAMEA615611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39"/>
    <s v="SAMEA615608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44"/>
    <s v="SAMEA615608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974/1000"/>
    <n v="0"/>
    <n v="6.3136799999999999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4783250"/>
    <s v="SAMEA6156086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MUC01000100.1"/>
    <s v="967/1000"/>
    <n v="0"/>
    <n v="8.0567300000000002E-4"/>
    <m/>
    <m/>
    <m/>
    <s v="NIHR_Global_Health_Research_Unit_on_Genomic_Surveillance_of_Antimicrobial_Resistance"/>
    <s v="Wellcome Sanger Institute;SC"/>
    <m/>
    <s v="Nigeria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1"/>
    <n v="0"/>
    <n v="0"/>
    <n v="25"/>
  </r>
  <r>
    <s v="ERR4783252"/>
    <s v="SAMEA615608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58"/>
    <s v="SAMEA615608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259"/>
    <s v="SAMEA615608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MUC01000100.1"/>
    <s v="983/1000"/>
    <n v="0"/>
    <n v="4.0999199999999997E-4"/>
    <m/>
    <m/>
    <m/>
    <s v="NIHR_Global_Health_Research_Unit_on_Genomic_Surveillance_of_Antimicrobial_Resistance"/>
    <s v="Wellcome Sanger Institute;SC"/>
    <m/>
    <s v="Nigeria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n v="25"/>
  </r>
  <r>
    <s v="ERR4783264"/>
    <s v="SAMEA615610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IQ01000049.1"/>
    <s v="924/1000"/>
    <n v="0"/>
    <n v="1.91916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64"/>
  </r>
  <r>
    <s v="ERR4783385"/>
    <s v="SAMEA615606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VLD01000001.1"/>
    <s v="738/1000"/>
    <n v="0"/>
    <n v="7.7809200000000002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0"/>
    <s v="-"/>
  </r>
  <r>
    <s v="ERR4783387"/>
    <s v="SAMEA615607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1/1000"/>
    <n v="0"/>
    <n v="4.5892399999999999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783391"/>
    <s v="SAMEA615607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783394"/>
    <s v="SAMEA615610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692/1000"/>
    <n v="0"/>
    <n v="9.5682600000000003E-3"/>
    <m/>
    <m/>
    <m/>
    <s v="NIHR_Global_Health_Research_Unit_on_Genomic_Surveillance_of_Antimicrobial_Resistance"/>
    <s v="Wellcome Sanger Institute;SC"/>
    <m/>
    <s v="Nigeria"/>
    <n v="1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1"/>
    <n v="1"/>
    <n v="0"/>
    <n v="0"/>
    <n v="0"/>
    <n v="0"/>
    <n v="1"/>
    <n v="1"/>
    <n v="0"/>
    <n v="0"/>
    <n v="0"/>
    <n v="0"/>
    <s v="-"/>
  </r>
  <r>
    <s v="ERR4783401"/>
    <s v="SAMEA6156096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67/1000"/>
    <n v="0"/>
    <n v="8.0567300000000002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783411"/>
    <s v="SAMEA615608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BX01000001.1"/>
    <s v="961/1000"/>
    <n v="0"/>
    <n v="9.56583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85"/>
  </r>
  <r>
    <s v="ERR4783413"/>
    <s v="SAMEA615609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701/1000"/>
    <n v="0"/>
    <n v="9.2055499999999998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1"/>
    <n v="0"/>
    <n v="0"/>
    <s v="-"/>
  </r>
  <r>
    <s v="ERR4783415"/>
    <s v="SAMEA615609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RHXW01000010.1"/>
    <s v="700/1000"/>
    <n v="0"/>
    <n v="9.2455200000000001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s v="-"/>
  </r>
  <r>
    <s v="ERR4783417"/>
    <s v="SAMEA615609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L01000001.1"/>
    <s v="676/1000"/>
    <n v="0"/>
    <n v="1.0229800000000001E-2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s v="-"/>
  </r>
  <r>
    <s v="ERR4783419"/>
    <s v="SAMEA615609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783518"/>
    <s v="SAMEA642277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2/1000"/>
    <n v="0"/>
    <n v="4.3443900000000001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4919979"/>
    <s v="SAMEA7472255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LN868200.1"/>
    <s v="863/1000"/>
    <n v="0"/>
    <n v="3.6372100000000001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0"/>
    <n v="0"/>
    <n v="0"/>
    <n v="0"/>
    <n v="0"/>
    <n v="267"/>
  </r>
  <r>
    <s v="ERR4919980"/>
    <s v="SAMEA7472266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UCPK02000001.1"/>
    <s v="929/1000"/>
    <n v="0"/>
    <n v="1.7857699999999999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19981"/>
    <s v="SAMEA7472269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UCPK02000001.1"/>
    <s v="922/1000"/>
    <n v="0"/>
    <n v="1.9728200000000001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19983"/>
    <s v="SAMEA7472272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UCPR02000001.1"/>
    <s v="927/1000"/>
    <n v="0"/>
    <n v="1.8389999999999999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19984"/>
    <s v="SAMEA7472275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UCPK02000001.1"/>
    <s v="937/1000"/>
    <n v="0"/>
    <n v="1.57453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19985"/>
    <s v="SAMEA7472282"/>
    <s v="May"/>
    <x v="4"/>
    <s v="PRJEB33565"/>
    <n v="9"/>
    <n v="38"/>
    <s v="Acinetobacter baumannii"/>
    <n v="470"/>
    <s v="Acinetobacter baumannii"/>
    <n v="470"/>
    <s v="Acinetobacter"/>
    <n v="469"/>
    <s v="Acinetobacter"/>
    <s v="NZ_FBXI01000001.1"/>
    <s v="934/1000"/>
    <n v="0"/>
    <n v="1.65343E-3"/>
    <m/>
    <s v="Human"/>
    <m/>
    <s v="Genomic epidemiology and patterns of antimicrobial resistance of neonatal sepsis in low- and middle-income countries https://barnards-group.com"/>
    <s v="CARDIFF UNIVERSITY"/>
    <m/>
    <s v="Ethiop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19991"/>
    <s v="SAMEA7472369"/>
    <s v="May"/>
    <x v="4"/>
    <s v="PRJEB33565"/>
    <n v="12"/>
    <n v="8"/>
    <s v="Acinetobacter baumannii"/>
    <n v="470"/>
    <s v="Acinetobacter baumannii"/>
    <n v="470"/>
    <s v="Acinetobacter"/>
    <n v="469"/>
    <s v="Acinetobacter"/>
    <s v="NZ_JEZB01000001.1"/>
    <s v="929/1000"/>
    <n v="0"/>
    <n v="1.7857699999999999E-3"/>
    <m/>
    <s v="Human"/>
    <m/>
    <s v="Genomic epidemiology and patterns of antimicrobial resistance of neonatal sepsis in low- and middle-income countries https://barnards-group.com"/>
    <s v="CARDIFF UNIVERSITY"/>
    <m/>
    <s v="Nigeri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919992"/>
    <s v="SAMEA7472384"/>
    <s v="May"/>
    <x v="4"/>
    <s v="PRJEB33565"/>
    <n v="12"/>
    <n v="8"/>
    <s v="Acinetobacter baumannii"/>
    <n v="470"/>
    <s v="Acinetobacter baumannii"/>
    <n v="470"/>
    <s v="Acinetobacter"/>
    <n v="469"/>
    <s v="Acinetobacter"/>
    <s v="NZ_UFKS01000070.1"/>
    <s v="853/1000"/>
    <n v="0"/>
    <n v="3.9359299999999998E-3"/>
    <m/>
    <s v="Human"/>
    <m/>
    <s v="Genomic epidemiology and patterns of antimicrobial resistance of neonatal sepsis in low- and middle-income countries https://barnards-group.com"/>
    <s v="CARDIFF UNIVERSITY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4919993"/>
    <s v="SAMEA7472417"/>
    <s v="May"/>
    <x v="4"/>
    <s v="PRJEB33565"/>
    <n v="12"/>
    <n v="8"/>
    <s v="Acinetobacter baumannii"/>
    <n v="470"/>
    <s v="Acinetobacter baumannii"/>
    <n v="470"/>
    <s v="Acinetobacter"/>
    <n v="469"/>
    <s v="Acinetobacter"/>
    <s v="NZ_FTRX01000225.1"/>
    <s v="924/1000"/>
    <n v="0"/>
    <n v="1.91916E-3"/>
    <m/>
    <s v="Human"/>
    <m/>
    <s v="Genomic epidemiology and patterns of antimicrobial resistance of neonatal sepsis in low- and middle-income countries https://barnards-group.com"/>
    <s v="CARDIFF UNIVERSITY"/>
    <m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575"/>
  </r>
  <r>
    <s v="ERR4920008"/>
    <s v="SAMEA7472901"/>
    <s v="May"/>
    <x v="4"/>
    <s v="PRJEB33565"/>
    <n v="-1.9"/>
    <n v="30"/>
    <s v="Acinetobacter baumannii"/>
    <n v="470"/>
    <s v="Acinetobacter baumannii"/>
    <n v="470"/>
    <s v="Acinetobacter"/>
    <n v="469"/>
    <s v="Acinetobacter"/>
    <s v="NZ_RHZA01000010.1"/>
    <s v="919/1000"/>
    <n v="0"/>
    <n v="2.0536299999999999E-3"/>
    <m/>
    <s v="Human"/>
    <m/>
    <s v="Genomic epidemiology and patterns of antimicrobial resistance of neonatal sepsis in low- and middle-income countries https://barnards-group.com"/>
    <s v="CARDIFF UNIVERSITY"/>
    <m/>
    <s v="Rwand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0"/>
    <n v="0"/>
    <n v="0"/>
    <n v="1"/>
    <n v="1"/>
    <n v="0"/>
    <n v="1"/>
    <n v="0"/>
    <n v="0"/>
    <n v="52"/>
  </r>
  <r>
    <s v="ERR4920011"/>
    <s v="SAMEA7472929"/>
    <s v="May"/>
    <x v="4"/>
    <s v="PRJEB33565"/>
    <n v="-33"/>
    <n v="18"/>
    <s v="Acinetobacter baumannii"/>
    <n v="470"/>
    <s v="Acinetobacter baumannii"/>
    <n v="470"/>
    <s v="Acinetobacter"/>
    <n v="469"/>
    <s v="Acinetobacter"/>
    <s v="NZ_CACRXT010000001.1"/>
    <s v="980/1000"/>
    <n v="0"/>
    <n v="4.8344600000000001E-4"/>
    <m/>
    <s v="Human"/>
    <m/>
    <s v="Genomic epidemiology and patterns of antimicrobial resistance of neonatal sepsis in low- and middle-income countries https://barnards-group.com"/>
    <s v="CARDIFF UNIVERSITY"/>
    <m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1"/>
    <n v="1"/>
    <n v="1"/>
    <n v="0"/>
    <n v="0"/>
    <n v="1"/>
    <n v="0"/>
    <n v="0"/>
    <n v="1"/>
  </r>
  <r>
    <s v="ERR4920012"/>
    <s v="SAMEA7472932"/>
    <s v="May"/>
    <x v="4"/>
    <s v="PRJEB33565"/>
    <n v="-33"/>
    <n v="18"/>
    <s v="Acinetobacter baumannii"/>
    <n v="470"/>
    <s v="Acinetobacter baumannii"/>
    <n v="470"/>
    <s v="Acinetobacter"/>
    <n v="469"/>
    <s v="Acinetobacter"/>
    <s v="NZ_UFMP01000067.1"/>
    <s v="913/1000"/>
    <n v="0"/>
    <n v="2.2164200000000002E-3"/>
    <m/>
    <s v="Human"/>
    <m/>
    <s v="Genomic epidemiology and patterns of antimicrobial resistance of neonatal sepsis in low- and middle-income countries https://barnards-group.com"/>
    <s v="CARDIFF UNIVERSITY"/>
    <m/>
    <s v="South Africa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0"/>
    <n v="164"/>
  </r>
  <r>
    <s v="ERR4920013"/>
    <s v="SAMEA7472944"/>
    <s v="May"/>
    <x v="4"/>
    <s v="PRJEB33565"/>
    <n v="-33"/>
    <n v="18"/>
    <s v="Acinetobacter baumannii"/>
    <n v="470"/>
    <s v="Acinetobacter baumannii"/>
    <n v="470"/>
    <s v="Acinetobacter"/>
    <n v="469"/>
    <s v="Acinetobacter"/>
    <s v="NZ_UFMP01000067.1"/>
    <s v="919/1000"/>
    <n v="0"/>
    <n v="2.0536299999999999E-3"/>
    <m/>
    <s v="Human"/>
    <m/>
    <s v="Genomic epidemiology and patterns of antimicrobial resistance of neonatal sepsis in low- and middle-income countries https://barnards-group.com"/>
    <s v="CARDIFF UNIVERSITY"/>
    <m/>
    <s v="South Africa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1"/>
    <n v="0"/>
    <n v="0"/>
    <n v="0"/>
    <n v="0"/>
    <n v="164"/>
  </r>
  <r>
    <s v="ERR4999559"/>
    <s v="SAMEA7725278"/>
    <m/>
    <x v="3"/>
    <s v="PRJEB42042"/>
    <n v="27"/>
    <n v="17"/>
    <s v="Acinetobacter baumannii"/>
    <n v="470"/>
    <s v="Acinetobacter baumannii"/>
    <n v="470"/>
    <s v="Acinetobacter"/>
    <n v="469"/>
    <s v="Acinetobacter"/>
    <s v="NZ_NIWL01000010.1"/>
    <s v="808/1000"/>
    <n v="0"/>
    <n v="5.3460599999999997E-3"/>
    <s v="W/S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602"/>
  </r>
  <r>
    <s v="ERR4999560"/>
    <s v="SAMEA7725279"/>
    <m/>
    <x v="3"/>
    <s v="PRJEB42042"/>
    <n v="27"/>
    <n v="17"/>
    <s v="Acinetobacter baumannii"/>
    <n v="470"/>
    <s v="Acinetobacter baumannii"/>
    <n v="470"/>
    <s v="Acinetobacter"/>
    <n v="469"/>
    <s v="Acinetobacter"/>
    <s v="NZ_CP041035.1"/>
    <s v="959/1000"/>
    <n v="0"/>
    <n v="1.0072E-3"/>
    <s v="Wound"/>
    <s v="Human"/>
    <m/>
    <s v="Acinetobacter baumannii isolated from patients in Libya"/>
    <s v="University of Cologne"/>
    <m/>
    <s v="Libya"/>
    <n v="0"/>
    <n v="0"/>
    <n v="1"/>
    <n v="0"/>
    <n v="0"/>
    <n v="0"/>
    <n v="0"/>
    <n v="0"/>
    <n v="1"/>
    <n v="0"/>
    <n v="0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4999561"/>
    <s v="SAMEA7725280"/>
    <m/>
    <x v="3"/>
    <s v="PRJEB42042"/>
    <n v="27"/>
    <n v="17"/>
    <s v="Acinetobacter baumannii"/>
    <n v="470"/>
    <s v="Acinetobacter baumannii"/>
    <n v="470"/>
    <s v="Acinetobacter"/>
    <n v="469"/>
    <s v="Acinetobacter"/>
    <s v="NZ_AMEJ01000001.1"/>
    <s v="988/1000"/>
    <n v="0"/>
    <n v="2.8831000000000001E-4"/>
    <s v="Wound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1"/>
  </r>
  <r>
    <s v="ERR4999562"/>
    <s v="SAMEA7725281"/>
    <m/>
    <x v="3"/>
    <s v="PRJEB42042"/>
    <n v="27"/>
    <n v="17"/>
    <s v="Acinetobacter baumannii"/>
    <n v="470"/>
    <s v="Acinetobacter baumannii"/>
    <n v="470"/>
    <s v="Acinetobacter"/>
    <n v="469"/>
    <s v="Acinetobacter"/>
    <s v="NZ_AMEJ01000001.1"/>
    <s v="986/1000"/>
    <n v="0"/>
    <n v="3.36872E-4"/>
    <s v="Wound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1"/>
  </r>
  <r>
    <s v="ERR4999563"/>
    <s v="SAMEA7725282"/>
    <m/>
    <x v="3"/>
    <s v="PRJEB42042"/>
    <n v="27"/>
    <n v="17"/>
    <s v="Acinetobacter baumannii"/>
    <n v="470"/>
    <s v="Acinetobacter baumannii"/>
    <n v="470"/>
    <s v="Acinetobacter"/>
    <n v="469"/>
    <s v="Acinetobacter"/>
    <s v="NZ_JZCA01000008.1"/>
    <s v="963/1000"/>
    <n v="0"/>
    <n v="9.0612399999999904E-4"/>
    <s v="Woun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5"/>
  </r>
  <r>
    <s v="ERR4999564"/>
    <s v="SAMEA7725283"/>
    <m/>
    <x v="3"/>
    <s v="PRJEB42042"/>
    <n v="27"/>
    <n v="17"/>
    <s v="Acinetobacter baumannii"/>
    <n v="470"/>
    <s v="Acinetobacter baumannii"/>
    <n v="470"/>
    <s v="Acinetobacter"/>
    <n v="469"/>
    <s v="Acinetobacter"/>
    <s v="NZ_NIWL01000010.1"/>
    <s v="808/1000"/>
    <n v="0"/>
    <n v="5.3460599999999997E-3"/>
    <s v="Wound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602"/>
  </r>
  <r>
    <s v="ERR4999566"/>
    <s v="SAMEA7725357"/>
    <m/>
    <x v="3"/>
    <s v="PRJEB42042"/>
    <n v="27"/>
    <n v="17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Urine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5"/>
  </r>
  <r>
    <s v="ERR4999567"/>
    <s v="SAMEA7725358"/>
    <m/>
    <x v="3"/>
    <s v="PRJEB42042"/>
    <n v="27"/>
    <n v="17"/>
    <s v="Acinetobacter baumannii"/>
    <n v="470"/>
    <s v="Acinetobacter baumannii"/>
    <n v="470"/>
    <s v="Acinetobacter"/>
    <n v="469"/>
    <s v="Acinetobacter"/>
    <s v="NZ_AMEJ01000001.1"/>
    <s v="988/1000"/>
    <n v="0"/>
    <n v="2.8831000000000001E-4"/>
    <s v="FC Tip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1"/>
  </r>
  <r>
    <s v="ERR4999568"/>
    <s v="SAMEA7725359"/>
    <m/>
    <x v="3"/>
    <s v="PRJEB42042"/>
    <n v="27"/>
    <n v="17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W/S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5"/>
  </r>
  <r>
    <s v="ERR4999569"/>
    <s v="SAMEA7725360"/>
    <m/>
    <x v="3"/>
    <s v="PRJEB42042"/>
    <n v="27"/>
    <n v="17"/>
    <s v="Acinetobacter baumannii"/>
    <n v="470"/>
    <s v="Acinetobacter baumannii"/>
    <n v="470"/>
    <s v="Acinetobacter"/>
    <n v="469"/>
    <s v="Acinetobacter"/>
    <s v="NZ_QAGO01000010.1"/>
    <s v="978/1000"/>
    <n v="0"/>
    <n v="5.3260299999999998E-4"/>
    <s v="Bloo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ERR4999570"/>
    <s v="SAMEA7725361"/>
    <m/>
    <x v="3"/>
    <s v="PRJEB42042"/>
    <n v="27"/>
    <n v="17"/>
    <s v="Acinetobacter baumannii"/>
    <n v="470"/>
    <s v="Acinetobacter baumannii"/>
    <n v="470"/>
    <s v="Acinetobacter"/>
    <n v="469"/>
    <s v="Acinetobacter"/>
    <s v="NZ_AMFV01000001.1"/>
    <s v="862/1000"/>
    <n v="0"/>
    <n v="3.6668600000000001E-3"/>
    <s v="Bloo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136"/>
  </r>
  <r>
    <s v="ERR4999571"/>
    <s v="SAMEA7725362"/>
    <m/>
    <x v="3"/>
    <s v="PRJEB42042"/>
    <n v="27"/>
    <n v="17"/>
    <s v="Acinetobacter baumannii"/>
    <n v="470"/>
    <s v="Acinetobacter baumannii"/>
    <n v="470"/>
    <s v="Acinetobacter"/>
    <n v="469"/>
    <s v="Acinetobacter"/>
    <s v="NZ_LNVD01000001.1"/>
    <s v="962/1000"/>
    <n v="0"/>
    <n v="9.3133399999999905E-4"/>
    <s v="Bloo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999572"/>
    <s v="SAMEA7725391"/>
    <m/>
    <x v="3"/>
    <s v="PRJEB42042"/>
    <n v="27"/>
    <n v="17"/>
    <s v="Acinetobacter baumannii"/>
    <n v="470"/>
    <s v="Acinetobacter baumannii"/>
    <n v="470"/>
    <s v="Acinetobacter"/>
    <n v="469"/>
    <s v="Acinetobacter"/>
    <s v="NZ_AFDM01000010.1"/>
    <s v="970/1000"/>
    <n v="0"/>
    <n v="7.3074100000000003E-4"/>
    <s v="Sputum"/>
    <s v="Human"/>
    <m/>
    <s v="Acinetobacter baumannii isolated from patients in Libya"/>
    <s v="University of Cologne"/>
    <m/>
    <s v="Libya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4999574"/>
    <s v="SAMEA7725393"/>
    <m/>
    <x v="3"/>
    <s v="PRJEB42042"/>
    <n v="27"/>
    <n v="17"/>
    <s v="Acinetobacter baumannii"/>
    <n v="470"/>
    <s v="Acinetobacter baumannii"/>
    <n v="470"/>
    <s v="Acinetobacter"/>
    <n v="469"/>
    <s v="Acinetobacter"/>
    <s v="NZ_NIWL01000010.1"/>
    <s v="794/1000"/>
    <n v="0"/>
    <n v="5.8082100000000003E-3"/>
    <s v="W/S"/>
    <s v="Human"/>
    <m/>
    <s v="Acinetobacter baumannii isolated from patients in Libya"/>
    <s v="University of Cologne"/>
    <m/>
    <s v="Libya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602"/>
  </r>
  <r>
    <s v="ERR4999575"/>
    <s v="SAMEA7725394"/>
    <m/>
    <x v="3"/>
    <s v="PRJEB42042"/>
    <n v="27"/>
    <n v="17"/>
    <s v="Acinetobacter baumannii"/>
    <n v="470"/>
    <s v="Acinetobacter baumannii"/>
    <n v="470"/>
    <s v="Acinetobacter"/>
    <n v="469"/>
    <s v="Acinetobacter"/>
    <s v="NZ_AMFV01000001.1"/>
    <s v="861/1000"/>
    <n v="0"/>
    <n v="3.6965499999999998E-3"/>
    <s v="W/S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136"/>
  </r>
  <r>
    <s v="ERR4999577"/>
    <s v="SAMEA7725395"/>
    <m/>
    <x v="3"/>
    <s v="PRJEB42042"/>
    <n v="27"/>
    <n v="17"/>
    <s v="Acinetobacter baumannii"/>
    <n v="470"/>
    <s v="Acinetobacter baumannii"/>
    <n v="470"/>
    <s v="Acinetobacter"/>
    <n v="469"/>
    <s v="Acinetobacter"/>
    <s v="NZ_AMFV01000001.1"/>
    <s v="862/1000"/>
    <n v="0"/>
    <n v="3.6668600000000001E-3"/>
    <s v="Woun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s v="-"/>
  </r>
  <r>
    <s v="ERR5000113"/>
    <s v="SAMEA7725421"/>
    <m/>
    <x v="3"/>
    <s v="PRJEB42042"/>
    <n v="27"/>
    <n v="17"/>
    <s v="Acinetobacter baumannii"/>
    <n v="470"/>
    <s v="Acinetobacter baumannii"/>
    <n v="470"/>
    <s v="Acinetobacter"/>
    <n v="469"/>
    <s v="Acinetobacter"/>
    <s v="NZ_JZCA01000008.1"/>
    <s v="966/1000"/>
    <n v="0"/>
    <n v="8.3072799999999998E-4"/>
    <s v="Woun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5"/>
  </r>
  <r>
    <s v="ERR5000114"/>
    <s v="SAMEA7725422"/>
    <m/>
    <x v="3"/>
    <s v="PRJEB42042"/>
    <n v="27"/>
    <n v="17"/>
    <s v="Acinetobacter baumannii"/>
    <n v="470"/>
    <s v="Acinetobacter baumannii"/>
    <n v="470"/>
    <s v="Acinetobacter"/>
    <n v="469"/>
    <s v="Acinetobacter"/>
    <s v="NZ_AFDM01000010.1"/>
    <s v="970/1000"/>
    <n v="0"/>
    <n v="7.3074100000000003E-4"/>
    <s v="UVE"/>
    <s v="Human"/>
    <m/>
    <s v="Acinetobacter baumannii isolated from patients in Libya"/>
    <s v="University of Cologne"/>
    <m/>
    <s v="Libya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5000123"/>
    <s v="SAMEA7725423"/>
    <m/>
    <x v="3"/>
    <s v="PRJEB42042"/>
    <n v="27"/>
    <n v="17"/>
    <s v="Acinetobacter baumannii"/>
    <n v="470"/>
    <s v="Acinetobacter baumannii"/>
    <n v="470"/>
    <s v="Acinetobacter"/>
    <n v="469"/>
    <s v="Acinetobacter"/>
    <s v="NZ_AMFV01000001.1"/>
    <s v="851/1000"/>
    <n v="0"/>
    <n v="3.9962900000000004E-3"/>
    <s v="Bloo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136"/>
  </r>
  <r>
    <s v="ERR5000189"/>
    <s v="SAMEA7725432"/>
    <m/>
    <x v="3"/>
    <s v="PRJEB42042"/>
    <n v="27"/>
    <n v="17"/>
    <s v="Acinetobacter baumannii"/>
    <n v="470"/>
    <s v="Acinetobacter baumannii"/>
    <n v="470"/>
    <s v="Acinetobacter"/>
    <n v="469"/>
    <s v="Acinetobacter"/>
    <s v="NZ_UCQE02000001.1"/>
    <s v="942/1000"/>
    <n v="0"/>
    <n v="1.4438700000000001E-3"/>
    <s v="Woun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5000190"/>
    <s v="SAMEA7725433"/>
    <m/>
    <x v="3"/>
    <s v="PRJEB42042"/>
    <n v="27"/>
    <n v="17"/>
    <s v="Acinetobacter baumannii"/>
    <n v="470"/>
    <s v="Acinetobacter baumannii"/>
    <n v="470"/>
    <s v="Acinetobacter"/>
    <n v="469"/>
    <s v="Acinetobacter"/>
    <s v="NZ_WIHX01000010.1"/>
    <s v="938/1000"/>
    <n v="0"/>
    <n v="1.5483199999999999E-3"/>
    <s v="Wound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</r>
  <r>
    <s v="ERR5000204"/>
    <s v="SAMEA7725434"/>
    <m/>
    <x v="3"/>
    <s v="PRJEB42042"/>
    <n v="27"/>
    <n v="17"/>
    <s v="Acinetobacter baumannii"/>
    <n v="470"/>
    <s v="Acinetobacter baumannii"/>
    <n v="470"/>
    <s v="Acinetobacter"/>
    <n v="469"/>
    <s v="Acinetobacter"/>
    <s v="NZ_AMFV01000001.1"/>
    <s v="853/1000"/>
    <n v="0"/>
    <n v="3.9359299999999998E-3"/>
    <s v="Throat/s"/>
    <s v="Human"/>
    <m/>
    <s v="Acinetobacter baumannii isolated from patients in Libya"/>
    <s v="University of Cologne"/>
    <m/>
    <s v="Libya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136"/>
  </r>
  <r>
    <s v="ERR5205865"/>
    <s v="SAMEA7886638"/>
    <m/>
    <x v="3"/>
    <s v="PRJEB42731"/>
    <n v="26"/>
    <n v="29"/>
    <s v="Acinetobacter baumannii"/>
    <n v="470"/>
    <s v="Acinetobacter baumannii"/>
    <n v="470"/>
    <s v="Acinetobacter"/>
    <n v="469"/>
    <s v="Acinetobacter"/>
    <s v="NZ_LYNI01000001.1"/>
    <s v="971/1000"/>
    <n v="0"/>
    <n v="7.0584100000000002E-4"/>
    <m/>
    <s v="Human"/>
    <m/>
    <s v="Acinetobacter baumannii isolated from patients hospitalised in Cairo, Egypt"/>
    <s v="University of Cologne"/>
    <m/>
    <s v="Egypt"/>
    <n v="0"/>
    <n v="0"/>
    <n v="0"/>
    <n v="0"/>
    <n v="1"/>
    <n v="0"/>
    <n v="0"/>
    <n v="0"/>
    <n v="1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5205866"/>
    <s v="SAMEA7886639"/>
    <m/>
    <x v="3"/>
    <s v="PRJEB42731"/>
    <n v="26"/>
    <n v="29"/>
    <s v="Acinetobacter baumannii"/>
    <n v="470"/>
    <s v="Acinetobacter baumannii"/>
    <n v="470"/>
    <s v="Acinetobacter"/>
    <n v="469"/>
    <s v="Acinetobacter"/>
    <s v="NZ_NGHL01000078.1"/>
    <s v="949/1000"/>
    <n v="0"/>
    <n v="1.2626499999999999E-3"/>
    <m/>
    <s v="Human"/>
    <m/>
    <s v="Acinetobacter baumannii isolated from patients hospitalised in Cairo, Egypt"/>
    <s v="University of Cologne"/>
    <m/>
    <s v="Egypt"/>
    <n v="0"/>
    <n v="0"/>
    <n v="0"/>
    <n v="0"/>
    <n v="0"/>
    <n v="0"/>
    <n v="0"/>
    <n v="1"/>
    <n v="0"/>
    <n v="0"/>
    <n v="0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5205867"/>
    <s v="SAMEA7886640"/>
    <m/>
    <x v="3"/>
    <s v="PRJEB42731"/>
    <n v="26"/>
    <n v="29"/>
    <s v="Acinetobacter baumannii"/>
    <n v="470"/>
    <s v="Acinetobacter baumannii"/>
    <n v="470"/>
    <s v="Acinetobacter"/>
    <n v="469"/>
    <s v="Acinetobacter"/>
    <s v="NZ_SMUB01000100.1"/>
    <s v="900/1000"/>
    <n v="0"/>
    <n v="2.5746300000000001E-3"/>
    <m/>
    <s v="Human"/>
    <m/>
    <s v="Acinetobacter baumannii isolated from patients hospitalised in Cairo, Egypt"/>
    <s v="University of Cologne"/>
    <m/>
    <s v="Egypt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1"/>
    <n v="0"/>
    <n v="0"/>
    <n v="0"/>
    <n v="0"/>
    <n v="0"/>
    <n v="0"/>
    <n v="158"/>
  </r>
  <r>
    <s v="ERR5205868"/>
    <s v="SAMEA7886641"/>
    <m/>
    <x v="3"/>
    <s v="PRJEB42731"/>
    <n v="26"/>
    <n v="29"/>
    <s v="Acinetobacter baumannii"/>
    <n v="470"/>
    <s v="Acinetobacter baumannii"/>
    <n v="470"/>
    <s v="Acinetobacter"/>
    <n v="469"/>
    <s v="Acinetobacter"/>
    <s v="NZ_NGHL01000078.1"/>
    <s v="949/1000"/>
    <n v="0"/>
    <n v="1.2626499999999999E-3"/>
    <m/>
    <s v="Human"/>
    <m/>
    <s v="Acinetobacter baumannii isolated from patients hospitalised in Cairo, Egypt"/>
    <s v="University of Cologne"/>
    <m/>
    <s v="Egypt"/>
    <n v="0"/>
    <n v="0"/>
    <n v="0"/>
    <n v="0"/>
    <n v="0"/>
    <n v="0"/>
    <n v="0"/>
    <n v="1"/>
    <n v="0"/>
    <n v="0"/>
    <n v="0"/>
    <n v="1"/>
    <n v="1"/>
    <n v="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5205869"/>
    <s v="SAMEA7886642"/>
    <m/>
    <x v="3"/>
    <s v="PRJEB42731"/>
    <n v="26"/>
    <n v="29"/>
    <s v="Acinetobacter baumannii"/>
    <n v="470"/>
    <s v="Acinetobacter baumannii"/>
    <n v="470"/>
    <s v="Acinetobacter"/>
    <n v="469"/>
    <s v="Acinetobacter"/>
    <s v="NZ_LYNI01000001.1"/>
    <s v="973/1000"/>
    <n v="0"/>
    <n v="6.5615399999999896E-4"/>
    <m/>
    <s v="Human"/>
    <m/>
    <s v="Acinetobacter baumannii isolated from patients hospitalised in Cairo, Egypt"/>
    <s v="University of Cologne"/>
    <m/>
    <s v="Egypt"/>
    <n v="0"/>
    <n v="0"/>
    <n v="0"/>
    <n v="0"/>
    <n v="1"/>
    <n v="0"/>
    <n v="0"/>
    <n v="0"/>
    <n v="1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5205871"/>
    <s v="SAMEA7886644"/>
    <m/>
    <x v="3"/>
    <s v="PRJEB42731"/>
    <n v="26"/>
    <n v="29"/>
    <s v="Acinetobacter baumannii"/>
    <n v="470"/>
    <s v="Acinetobacter baumannii"/>
    <n v="470"/>
    <s v="Acinetobacter"/>
    <n v="469"/>
    <s v="Acinetobacter"/>
    <s v="NZ_WIID01000010.1"/>
    <s v="912/1000"/>
    <n v="0"/>
    <n v="2.2437099999999999E-3"/>
    <m/>
    <s v="Human"/>
    <m/>
    <s v="Acinetobacter baumannii isolated from patients hospitalised in Cairo, Egypt"/>
    <s v="University of Cologne"/>
    <m/>
    <s v="Egypt"/>
    <n v="0"/>
    <n v="0"/>
    <n v="0"/>
    <n v="0"/>
    <n v="0"/>
    <n v="1"/>
    <n v="0"/>
    <n v="0"/>
    <n v="1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ERR6938061"/>
    <s v="SAMEA748696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149"/>
  </r>
  <r>
    <s v="ERR6938074"/>
    <s v="SAMEA748679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7.1"/>
    <s v="720/1000"/>
    <n v="0"/>
    <n v="8.4610099999999997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6"/>
  </r>
  <r>
    <s v="ERR6938077"/>
    <s v="SAMEA748679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VLE01000001.1"/>
    <s v="943/1000"/>
    <n v="0"/>
    <n v="1.41786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6938084"/>
    <s v="SAMEA748679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MX01000031.1"/>
    <s v="924/1000"/>
    <n v="0"/>
    <n v="1.91916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16"/>
  </r>
  <r>
    <s v="ERR6938087"/>
    <s v="SAMEA748679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KG01000087.1"/>
    <s v="924/1000"/>
    <n v="0"/>
    <n v="1.91916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64"/>
  </r>
  <r>
    <s v="ERR6938090"/>
    <s v="SAMEA748680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149"/>
  </r>
  <r>
    <s v="ERR6938093"/>
    <s v="SAMEA748680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7.1"/>
    <s v="720/1000"/>
    <n v="0"/>
    <n v="8.4610099999999997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6"/>
  </r>
  <r>
    <s v="ERR6938096"/>
    <s v="SAMEA748680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JEXR01000001.1"/>
    <s v="899/1000"/>
    <n v="0"/>
    <n v="2.6025000000000002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32"/>
  </r>
  <r>
    <s v="ERR6938099"/>
    <s v="SAMEA748680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RFBW01000009.1"/>
    <s v="868/1000"/>
    <n v="0"/>
    <n v="3.4897499999999998E-3"/>
    <m/>
    <m/>
    <m/>
    <s v="NIHR_Global_Health_Research_Unit_on_Genomic_Surveillance_of_Antimicrobial_Resistance"/>
    <s v="Wellcome Sanger Institute;SC"/>
    <m/>
    <s v="Nigeria"/>
    <n v="1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1"/>
    <n v="0"/>
    <n v="0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0"/>
    <n v="0"/>
    <n v="2"/>
  </r>
  <r>
    <s v="ERR6938111"/>
    <s v="SAMEA748679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VLD01000001.1"/>
    <s v="960/1000"/>
    <n v="0"/>
    <n v="9.8187100000000005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409"/>
  </r>
  <r>
    <s v="ERR6938114"/>
    <s v="SAMEA748680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5.1"/>
    <s v="910/1000"/>
    <n v="0"/>
    <n v="2.29841999999999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1"/>
    <n v="0"/>
    <n v="0"/>
    <n v="1"/>
    <n v="1"/>
    <n v="0"/>
    <n v="1"/>
    <n v="0"/>
    <n v="1"/>
    <n v="1"/>
    <n v="0"/>
    <n v="0"/>
    <n v="0"/>
    <n v="0"/>
    <n v="0"/>
    <n v="149"/>
  </r>
  <r>
    <s v="ERR6938153"/>
    <s v="SAMEA748683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KC01000171.1"/>
    <s v="890/1000"/>
    <n v="0"/>
    <n v="2.8554000000000001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03"/>
  </r>
  <r>
    <s v="ERR6938409"/>
    <s v="SAMEA859543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80/1000"/>
    <n v="0"/>
    <n v="4.8344600000000001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6938479"/>
    <s v="SAMEA859562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HD01000001.1"/>
    <s v="909/1000"/>
    <n v="0"/>
    <n v="2.32584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n v="1"/>
    <n v="1"/>
    <n v="0"/>
    <n v="267"/>
  </r>
  <r>
    <s v="ERR6938729"/>
    <s v="SAMEA965190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MUC01000100.1"/>
    <s v="970/1000"/>
    <n v="0"/>
    <n v="7.3074100000000003E-4"/>
    <m/>
    <m/>
    <m/>
    <s v="NIHR_Global_Health_Research_Unit_on_Genomic_Surveillance_of_Antimicrobial_Resistance"/>
    <s v="Wellcome Sanger Institute;SC"/>
    <m/>
    <s v="Nigeria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n v="25"/>
  </r>
  <r>
    <s v="ERR6938731"/>
    <s v="SAMEA965191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MUC01000100.1"/>
    <s v="945/1000"/>
    <n v="0"/>
    <n v="1.36596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5"/>
  </r>
  <r>
    <s v="ERR6938732"/>
    <s v="SAMEA965191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MUC01000100.1"/>
    <s v="966/1000"/>
    <n v="0"/>
    <n v="8.3072799999999998E-4"/>
    <m/>
    <m/>
    <m/>
    <s v="NIHR_Global_Health_Research_Unit_on_Genomic_Surveillance_of_Antimicrobial_Resistance"/>
    <s v="Wellcome Sanger Institute;SC"/>
    <m/>
    <s v="Nigeria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5"/>
  </r>
  <r>
    <s v="ERR6938733"/>
    <s v="SAMEA965191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78/1000"/>
    <n v="0"/>
    <n v="5.3260299999999998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6938734"/>
    <s v="SAMEA965192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6938735"/>
    <s v="SAMEA965192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6938736"/>
    <s v="SAMEA965192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EH01000001.1"/>
    <s v="865/1000"/>
    <n v="0"/>
    <n v="3.5780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ERR6938738"/>
    <s v="SAMEA965192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500/1000"/>
    <n v="0"/>
    <n v="1.9307899999999999E-2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  <n v="0"/>
    <n v="1"/>
    <n v="0"/>
    <n v="1"/>
    <n v="1"/>
    <n v="1"/>
    <n v="0"/>
    <n v="0"/>
    <n v="1"/>
    <n v="0"/>
    <n v="0"/>
    <s v="-"/>
  </r>
  <r>
    <s v="ERR6938739"/>
    <s v="SAMEA965192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MX01000031.1"/>
    <s v="933/1000"/>
    <n v="0"/>
    <n v="1.67980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16"/>
  </r>
  <r>
    <s v="ERR6938740"/>
    <s v="SAMEA965192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MX01000031.1"/>
    <s v="933/1000"/>
    <n v="0"/>
    <n v="1.67980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16"/>
  </r>
  <r>
    <s v="ERR6938741"/>
    <s v="SAMEA9651926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C_020547.2"/>
    <s v="866/1000"/>
    <n v="0"/>
    <n v="3.54858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67"/>
  </r>
  <r>
    <s v="ERR6938743"/>
    <s v="SAMEA965192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C_020547.2"/>
    <s v="866/1000"/>
    <n v="0"/>
    <n v="3.54858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67"/>
  </r>
  <r>
    <s v="ERR6938745"/>
    <s v="SAMEA965193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62/1000"/>
    <n v="0"/>
    <n v="9.3133400000000002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6938749"/>
    <s v="SAMEA965193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62/1000"/>
    <n v="0"/>
    <n v="9.3133400000000002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6938913"/>
    <s v="SAMEA965189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1347.1"/>
    <s v="697/1000"/>
    <n v="0"/>
    <n v="9.3659399999999997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1866"/>
  </r>
  <r>
    <s v="ERR6938928"/>
    <s v="SAMEA965190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965/1000"/>
    <n v="0"/>
    <n v="8.5582099999999999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</r>
  <r>
    <s v="ERR6938929"/>
    <s v="SAMEA965190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964/1000"/>
    <n v="0"/>
    <n v="8.8095299999999997E-4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</r>
  <r>
    <s v="ERR6938931"/>
    <s v="SAMEA965190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10781.1"/>
    <s v="918/1000"/>
    <n v="0"/>
    <n v="2.0806499999999999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ERR7226293"/>
    <s v="SAMEA984516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910"/>
  </r>
  <r>
    <s v="ERR7226295"/>
    <s v="SAMEA984517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KB01000118.1"/>
    <s v="912/1000"/>
    <n v="0"/>
    <n v="2.24370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8"/>
  </r>
  <r>
    <s v="ERR7226554"/>
    <s v="SAMEA984511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979/1000"/>
    <n v="0"/>
    <n v="5.0800599999999997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7226556"/>
    <s v="SAMEA984511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XGU01000001.1"/>
    <s v="980/1000"/>
    <n v="0"/>
    <n v="4.8344600000000001E-4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ERR7226586"/>
    <s v="_x0009__x000a_SAMEA984513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IWP01000085.1"/>
    <s v="908/1000"/>
    <n v="0"/>
    <n v="2.3533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21"/>
  </r>
  <r>
    <s v="ERR7226588"/>
    <s v="SAMEA984514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BKDD01000001.1"/>
    <s v="491/1000"/>
    <n v="0"/>
    <n v="1.98862E-2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0"/>
    <n v="0"/>
    <n v="0"/>
    <n v="0"/>
    <n v="1904"/>
  </r>
  <r>
    <s v="ERR7226590"/>
    <s v="SAMEA984514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7226592"/>
    <s v="SAMEA984514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7226594"/>
    <s v="SAMEA9845146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CQE02000001.1"/>
    <s v="953/1000"/>
    <n v="0"/>
    <n v="1.1599900000000001E-3"/>
    <m/>
    <m/>
    <m/>
    <s v="NIHR_Global_Health_Research_Unit_on_Genomic_Surveillance_of_Antimicrobial_Resistance"/>
    <s v="Wellcome Sanger Institute;SC"/>
    <m/>
    <s v="Nigeria"/>
    <n v="0"/>
    <n v="0"/>
    <n v="1"/>
    <n v="0"/>
    <n v="0"/>
    <n v="0"/>
    <n v="0"/>
    <n v="1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ERR7226612"/>
    <s v="SAMEA984514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RFBW01000009.1"/>
    <s v="931/1000"/>
    <n v="0"/>
    <n v="1.7327099999999999E-3"/>
    <m/>
    <m/>
    <m/>
    <s v="NIHR_Global_Health_Research_Unit_on_Genomic_Surveillance_of_Antimicrobial_Resistance"/>
    <s v="Wellcome Sanger Institute;SC"/>
    <m/>
    <s v="Nigeria"/>
    <n v="1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1"/>
    <n v="0"/>
    <n v="0"/>
    <n v="1"/>
    <n v="0"/>
    <n v="0"/>
    <n v="2"/>
  </r>
  <r>
    <s v="ERR7226614"/>
    <s v="SAMEA98451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VHGT01000001.1"/>
    <s v="871/1000"/>
    <n v="0"/>
    <n v="3.40187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1"/>
    <n v="1"/>
    <n v="1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07"/>
  </r>
  <r>
    <s v="ERR7226616"/>
    <s v="SAMEA9845149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CP020597.1"/>
    <s v="976/1000"/>
    <n v="0"/>
    <n v="5.8191000000000004E-4"/>
    <m/>
    <m/>
    <m/>
    <s v="NIHR_Global_Health_Research_Unit_on_Genomic_Surveillance_of_Antimicrobial_Resistance"/>
    <s v="Wellcome Sanger Institute;SC"/>
    <m/>
    <s v="Nigeria"/>
    <n v="0"/>
    <n v="1"/>
    <n v="0"/>
    <n v="1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1"/>
    <n v="0"/>
    <n v="0"/>
    <n v="25"/>
  </r>
  <r>
    <s v="ERR7226618"/>
    <s v="SAMEA984515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PXMF01000001.1"/>
    <s v="923/1000"/>
    <n v="0"/>
    <n v="1.94597E-3"/>
    <m/>
    <m/>
    <m/>
    <s v="NIHR_Global_Health_Research_Unit_on_Genomic_Surveillance_of_Antimicrobial_Resistance"/>
    <s v="Wellcome Sanger Institute;SC"/>
    <m/>
    <s v="Nigeria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52"/>
  </r>
  <r>
    <s v="ERR7226620"/>
    <s v="SAMEA984515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IWP01000085.1"/>
    <s v="909/1000"/>
    <n v="0"/>
    <n v="2.32584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21"/>
  </r>
  <r>
    <s v="ERR7226622"/>
    <s v="SAMEA984515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NIWP01000085.1"/>
    <s v="909/1000"/>
    <n v="0"/>
    <n v="2.32584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21"/>
  </r>
  <r>
    <s v="ERR7226626"/>
    <s v="SAMEA984515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QTKC01000085.1"/>
    <s v="912/1000"/>
    <n v="0"/>
    <n v="2.24370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64"/>
  </r>
  <r>
    <s v="ERR7226644"/>
    <s v="SAMEA9845156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SOYV01000001.1"/>
    <s v="540/1000"/>
    <n v="0"/>
    <n v="1.68963E-2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1"/>
  </r>
  <r>
    <s v="ERR7226646"/>
    <s v="SAMEA984515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UFMD01000063.1"/>
    <s v="920/1000"/>
    <n v="0"/>
    <n v="2.0266500000000001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64"/>
  </r>
  <r>
    <s v="ERR7226648"/>
    <s v="SAMEA9845158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JFEF01000001.1"/>
    <s v="534/1000"/>
    <n v="0"/>
    <n v="1.7242400000000001E-2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5"/>
  </r>
  <r>
    <s v="ERR7226650"/>
    <s v="_x0009__x000a_SAMEA984515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SMU01000001.1"/>
    <s v="501/1000"/>
    <n v="0"/>
    <n v="1.9244500000000001E-2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0"/>
  </r>
  <r>
    <s v="ERR7226654"/>
    <s v="SAMEA984516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QTKC01000085.1"/>
    <s v="903/1000"/>
    <n v="0"/>
    <n v="2.4912900000000002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909"/>
  </r>
  <r>
    <s v="ERR7226656"/>
    <s v="SAMEA9845161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910"/>
  </r>
  <r>
    <s v="ERR7226658"/>
    <s v="SAMEA9845163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910"/>
  </r>
  <r>
    <s v="ERR7226676"/>
    <s v="SAMEA9845164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MPCA01000001.1"/>
    <s v="958/1000"/>
    <n v="0"/>
    <n v="1.0325600000000001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ERR7226678"/>
    <s v="SAMEA9845165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LLIN01000001.1"/>
    <s v="885/1000"/>
    <n v="0"/>
    <n v="2.9975399999999999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910"/>
  </r>
  <r>
    <s v="ERR7226680"/>
    <s v="SAMEA9845167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JEXM01000001.1"/>
    <s v="544/1000"/>
    <n v="0"/>
    <n v="1.66683E-2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906"/>
  </r>
  <r>
    <s v="ERR7226688"/>
    <s v="SAMEA9845170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JMOD01000001.1"/>
    <s v="787/1000"/>
    <n v="0"/>
    <n v="6.04371999999999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"/>
  </r>
  <r>
    <s v="ERR7226690"/>
    <s v="SAMEA9845172"/>
    <m/>
    <x v="3"/>
    <s v="PRJEB29739"/>
    <n v="9.0819989999999997"/>
    <n v="8.6752769999999995"/>
    <s v="Acinetobacter baumannii"/>
    <n v="470"/>
    <s v="Acinetobacter baumannii"/>
    <n v="470"/>
    <s v="Acinetobacter"/>
    <n v="469"/>
    <s v="Acinetobacter"/>
    <s v="NZ_JMOD01000001.1"/>
    <s v="787/1000"/>
    <n v="0"/>
    <n v="6.0437199999999998E-3"/>
    <m/>
    <m/>
    <m/>
    <s v="NIHR_Global_Health_Research_Unit_on_Genomic_Surveillance_of_Antimicrobial_Resistance"/>
    <s v="Wellcome Sanger Institute;SC"/>
    <m/>
    <s v="Nigeri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8"/>
  </r>
  <r>
    <s v="ERR8024946"/>
    <s v="SAMEA12311701"/>
    <s v="Jan"/>
    <x v="0"/>
    <s v="PRJEB46496"/>
    <n v="8.0300284000000008"/>
    <n v="-1.0800270999999999"/>
    <s v="Acinetobacter baumannii"/>
    <n v="470"/>
    <s v="Acinetobacter baumannii"/>
    <n v="470"/>
    <s v="Acinetobacter"/>
    <n v="469"/>
    <s v="Acinetobacter"/>
    <s v="NZ_CP051862.1"/>
    <s v="742/1000"/>
    <n v="0"/>
    <n v="7.6329900000000001E-3"/>
    <s v="hospital surface"/>
    <s v="hosptial surface"/>
    <m/>
    <s v="Environmental Surveillance of ESBL and Carbapenemase-Producing Gram-Negative Bacteria in a hospital in Ghana"/>
    <s v="CARDIFF UNIVERSITY"/>
    <m/>
    <s v="Ghana"/>
    <n v="1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1136"/>
  </r>
  <r>
    <s v="ERR8024947"/>
    <s v="SAMEA12311702"/>
    <s v="Jan"/>
    <x v="0"/>
    <s v="PRJEB46496"/>
    <n v="8.0300284000000008"/>
    <n v="-1.0800270999999999"/>
    <s v="Acinetobacter baumannii"/>
    <n v="470"/>
    <s v="Acinetobacter baumannii"/>
    <n v="470"/>
    <s v="Acinetobacter"/>
    <n v="469"/>
    <s v="Acinetobacter"/>
    <s v="NZ_VNWQ01000001.1"/>
    <s v="797/1000"/>
    <n v="0"/>
    <n v="5.7081900000000001E-3"/>
    <s v="hospital surface"/>
    <s v="hosptial surface"/>
    <m/>
    <s v="Environmental Surveillance of ESBL and Carbapenemase-Producing Gram-Negative Bacteria in a hospital in Ghana"/>
    <s v="CARDIFF UNIVERSITY"/>
    <m/>
    <s v="Ghan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109"/>
  </r>
  <r>
    <s v="ERR8024950"/>
    <s v="SAMEA12311705"/>
    <s v="Jan"/>
    <x v="0"/>
    <s v="PRJEB46496"/>
    <n v="8.0300284000000008"/>
    <n v="-1.0800270999999999"/>
    <s v="Acinetobacter baumannii"/>
    <n v="470"/>
    <s v="Acinetobacter baumannii"/>
    <n v="470"/>
    <s v="Acinetobacter"/>
    <n v="469"/>
    <s v="Acinetobacter"/>
    <s v="NZ_VNWQ01000001.1"/>
    <s v="797/1000"/>
    <n v="0"/>
    <n v="5.7081900000000001E-3"/>
    <s v="hospital surface"/>
    <s v="hosptial surface"/>
    <m/>
    <s v="Environmental Surveillance of ESBL and Carbapenemase-Producing Gram-Negative Bacteria in a hospital in Ghana"/>
    <s v="CARDIFF UNIVERSITY"/>
    <m/>
    <s v="Ghan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109"/>
  </r>
  <r>
    <s v="ERR8024951"/>
    <s v="SAMEA12311706"/>
    <s v="Jan"/>
    <x v="0"/>
    <s v="PRJEB46496"/>
    <n v="8.0300284000000008"/>
    <n v="-1.0800270999999999"/>
    <s v="Acinetobacter baumannii"/>
    <n v="470"/>
    <s v="Acinetobacter baumannii"/>
    <n v="470"/>
    <s v="Acinetobacter"/>
    <n v="469"/>
    <s v="Acinetobacter"/>
    <s v="NZ_VNWQ01000001.1"/>
    <s v="796/1000"/>
    <n v="0"/>
    <n v="5.7414700000000003E-3"/>
    <s v="hospital surface"/>
    <s v="hosptial surface"/>
    <m/>
    <s v="Environmental Surveillance of ESBL and Carbapenemase-Producing Gram-Negative Bacteria in a hospital in Ghana"/>
    <s v="CARDIFF UNIVERSITY"/>
    <m/>
    <s v="Ghana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1"/>
    <n v="0"/>
    <n v="0"/>
    <n v="109"/>
  </r>
  <r>
    <s v="ERR8024959"/>
    <s v="SAMEA12311711"/>
    <s v="Jan"/>
    <x v="0"/>
    <s v="PRJEB46496"/>
    <n v="8.0300284000000008"/>
    <n v="-1.0800270999999999"/>
    <s v="Acinetobacter baumannii"/>
    <n v="470"/>
    <s v="Acinetobacter baumannii"/>
    <n v="470"/>
    <s v="Acinetobacter"/>
    <n v="469"/>
    <s v="Acinetobacter"/>
    <s v="NZ_BHGH01000001.1"/>
    <s v="756/1000"/>
    <n v="0"/>
    <n v="7.1240599999999998E-3"/>
    <s v="hospital surface"/>
    <s v="hosptial surface"/>
    <m/>
    <s v="Environmental Surveillance of ESBL and Carbapenemase-Producing Gram-Negative Bacteria in a hospital in Ghana"/>
    <s v="CARDIFF UNIVERSITY"/>
    <m/>
    <s v="Ghana"/>
    <n v="1"/>
    <n v="0"/>
    <n v="0"/>
    <n v="0"/>
    <n v="0"/>
    <n v="0"/>
    <n v="1"/>
    <n v="0"/>
    <n v="0"/>
    <n v="0"/>
    <n v="0"/>
    <n v="1"/>
    <n v="1"/>
    <n v="0"/>
    <n v="0"/>
    <n v="0"/>
    <n v="1"/>
    <n v="0"/>
    <n v="1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1"/>
    <n v="0"/>
    <n v="0"/>
    <n v="0"/>
    <n v="1"/>
    <n v="1"/>
    <n v="0"/>
    <n v="1"/>
    <n v="0"/>
    <n v="1"/>
    <n v="1"/>
    <n v="0"/>
    <n v="0"/>
    <n v="0"/>
    <n v="0"/>
    <n v="1"/>
    <n v="132"/>
  </r>
  <r>
    <s v="SRR10583096"/>
    <s v="SAMN13422049"/>
    <s v="Sept"/>
    <x v="4"/>
    <s v="PRJNA592050"/>
    <n v="8.0300284000000008"/>
    <n v="-1.0800270999999999"/>
    <s v="Acinetobacter baumannii"/>
    <n v="470"/>
    <s v="Acinetobacter baumannii"/>
    <n v="470"/>
    <s v="Acinetobacter"/>
    <n v="469"/>
    <s v="Acinetobacter"/>
    <s v="NZ_CZWE01000001.1"/>
    <s v="860/1000"/>
    <n v="0"/>
    <n v="3.7263000000000001E-3"/>
    <s v="Surgical site infection"/>
    <s v="Human"/>
    <m/>
    <s v="Air genomes from surgical room Raw sequence reads"/>
    <s v="RigshospitaleT"/>
    <m/>
    <s v="Gh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</r>
  <r>
    <s v="SRR11514880"/>
    <s v="SAMN14567567"/>
    <s v="Mar"/>
    <x v="5"/>
    <s v="PRJNA624101"/>
    <n v="6.38"/>
    <n v="2.4500000000000002"/>
    <s v="Acinetobacter baumannii"/>
    <n v="470"/>
    <s v="Acinetobacter baumannii"/>
    <n v="470"/>
    <s v="Acinetobacter"/>
    <n v="469"/>
    <s v="Acinetobacter"/>
    <s v="NZ_VHFD01000001.1"/>
    <s v="830/1000"/>
    <n v="0"/>
    <n v="4.64278E-3"/>
    <s v="Surgical wound"/>
    <s v="Human"/>
    <m/>
    <s v="Whole-Genome sequence of NDM-1-producing Acinetobacter baumannii"/>
    <s v="Sciensano"/>
    <m/>
    <s v="Benin"/>
    <n v="1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388"/>
  </r>
  <r>
    <s v="SRR11589174"/>
    <s v="SAMN14669798"/>
    <s v="Jan"/>
    <x v="6"/>
    <s v="PRJNA627433"/>
    <n v="-29"/>
    <n v="24"/>
    <s v="Acinetobacter baumannii"/>
    <n v="470"/>
    <s v="Acinetobacter baumannii"/>
    <n v="470"/>
    <s v="Acinetobacter"/>
    <n v="469"/>
    <s v="Acinetobacter"/>
    <s v="NZ_UCPQ02000001.1"/>
    <s v="997/1000"/>
    <n v="0"/>
    <s v="7.15897e-05"/>
    <m/>
    <s v="Human"/>
    <m/>
    <s v="Carbapenem-resistant Acinetobacter baumannii (CRAB) tested for susceptibility to meropenem/QPX7728"/>
    <s v="Qpex Biopharma"/>
    <m/>
    <s v="South Africa"/>
    <n v="0"/>
    <n v="0"/>
    <n v="1"/>
    <n v="0"/>
    <n v="0"/>
    <n v="0"/>
    <n v="0"/>
    <n v="0"/>
    <n v="1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SRR11589267"/>
    <s v="SAMN14669869"/>
    <s v="Jan"/>
    <x v="7"/>
    <s v="PRJNA627433"/>
    <n v="-29"/>
    <n v="24"/>
    <s v="Acinetobacter baumannii"/>
    <n v="470"/>
    <s v="Acinetobacter baumannii"/>
    <n v="470"/>
    <s v="Acinetobacter"/>
    <n v="469"/>
    <s v="Acinetobacter"/>
    <s v="NZ_JEVZ02000001.1"/>
    <s v="529/1000"/>
    <n v="0"/>
    <n v="1.7534899999999999E-2"/>
    <m/>
    <s v="Human"/>
    <m/>
    <s v="Carbapenem-resistant Acinetobacter baumannii (CRAB) tested for susceptibility to meropenem/QPX7729"/>
    <s v="Qpex Biopharma"/>
    <m/>
    <s v="South Afric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43"/>
  </r>
  <r>
    <s v="SRR12905336"/>
    <s v="SAMN16562431"/>
    <s v="Jan"/>
    <x v="5"/>
    <s v="PRJNA672293"/>
    <n v="32.8872"/>
    <n v="13.1913"/>
    <s v="Acinetobacter baumannii"/>
    <n v="470"/>
    <s v="Acinetobacter baumannii"/>
    <n v="470"/>
    <s v="Acinetobacter"/>
    <n v="469"/>
    <s v="Acinetobacter"/>
    <s v="NZ_JZCA01000008.1"/>
    <s v="963/1000"/>
    <n v="0"/>
    <n v="9.0612399999999904E-4"/>
    <s v="Wound"/>
    <s v="Human"/>
    <s v="infection"/>
    <s v="AMR and conflict"/>
    <s v="American University of Beirut"/>
    <s v="Tripoli"/>
    <s v="Libya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5"/>
  </r>
  <r>
    <s v="SRR12905337"/>
    <s v="SAMN16562435"/>
    <s v="Jan"/>
    <x v="5"/>
    <s v="PRJNA672293"/>
    <n v="32.8872"/>
    <n v="13.1913"/>
    <s v="Acinetobacter baumannii"/>
    <n v="470"/>
    <s v="Acinetobacter baumannii"/>
    <n v="470"/>
    <s v="Acinetobacter"/>
    <n v="469"/>
    <s v="Acinetobacter"/>
    <s v="NZ_NIWL01000010.1"/>
    <s v="793/1000"/>
    <n v="0"/>
    <n v="5.8416700000000002E-3"/>
    <s v="wound-Sputum"/>
    <s v="Human"/>
    <s v="infection"/>
    <s v="AMR and conflict"/>
    <s v="American University of Beirut"/>
    <s v="Tripoli"/>
    <s v="Libya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602"/>
  </r>
  <r>
    <s v="SRR12905338"/>
    <s v="SAMN16562434"/>
    <s v="Jan"/>
    <x v="5"/>
    <s v="PRJNA672293"/>
    <n v="32.8872"/>
    <n v="13.1913"/>
    <s v="Acinetobacter baumannii"/>
    <n v="470"/>
    <s v="Acinetobacter baumannii"/>
    <n v="470"/>
    <s v="Acinetobacter"/>
    <n v="469"/>
    <s v="Acinetobacter"/>
    <s v="NZ_LNVD01000001.1"/>
    <s v="962/1000"/>
    <n v="0"/>
    <n v="9.3133399999999905E-4"/>
    <s v="Blood"/>
    <s v="Human"/>
    <s v="bacterimia"/>
    <s v="AMR and conflict"/>
    <s v="American University of Beirut"/>
    <s v="Tripoli"/>
    <s v="Libya"/>
    <n v="0"/>
    <n v="0"/>
    <n v="0"/>
    <n v="0"/>
    <n v="0"/>
    <n v="0"/>
    <n v="0"/>
    <n v="1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2"/>
  </r>
  <r>
    <s v="SRR12905341"/>
    <s v="SAMN16562430"/>
    <s v="Jan"/>
    <x v="5"/>
    <s v="PRJNA672293"/>
    <n v="32.8872"/>
    <n v="13.1913"/>
    <s v="Acinetobacter baumannii"/>
    <n v="470"/>
    <s v="Acinetobacter baumannii"/>
    <n v="470"/>
    <s v="Acinetobacter"/>
    <n v="469"/>
    <s v="Acinetobacter"/>
    <s v="NZ_WIHX01000010.1"/>
    <s v="936/1000"/>
    <n v="0"/>
    <n v="1.6007899999999999E-3"/>
    <s v="Wound"/>
    <s v="Human"/>
    <s v="infection"/>
    <s v="AMR and conflict"/>
    <s v="American University of Beirut"/>
    <s v="Tripoli"/>
    <s v="Libya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2"/>
  </r>
  <r>
    <s v="SRR13327178"/>
    <s v="SAMN17182380"/>
    <s v="May"/>
    <x v="2"/>
    <s v="PRJNA688598"/>
    <n v="30.022729999999999"/>
    <n v="31.23789"/>
    <s v="Acinetobacter baumannii"/>
    <n v="470"/>
    <s v="Acinetobacter baumannii"/>
    <n v="470"/>
    <s v="Acinetobacter"/>
    <n v="469"/>
    <s v="Acinetobacter"/>
    <s v="NZ_WIIH01000010.1"/>
    <s v="960/1000"/>
    <n v="0"/>
    <n v="9.8187100000000005E-4"/>
    <s v="BAL"/>
    <s v="Human"/>
    <s v="Cancer"/>
    <s v="Whole Genome Sequencing of Multidrug Resistant Acinetobacter baumannii - CCHE57357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13327179"/>
    <s v="SAMN17182379"/>
    <s v="May"/>
    <x v="2"/>
    <s v="PRJNA688598"/>
    <n v="30.022729999999999"/>
    <n v="31.23789"/>
    <s v="Acinetobacter baumannii"/>
    <n v="470"/>
    <s v="Acinetobacter baumannii"/>
    <n v="470"/>
    <s v="Acinetobacter"/>
    <n v="469"/>
    <s v="Acinetobacter"/>
    <s v="NZ_WIIH01000010.1"/>
    <s v="953/1000"/>
    <n v="0"/>
    <n v="1.1599900000000001E-3"/>
    <s v="Blood"/>
    <s v="Human"/>
    <s v="Cancer"/>
    <s v="Whole Genome Sequencing of Multidrug Resistant Acinetobacter baumannii - CCHE57358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13327181"/>
    <s v="SAMN17182377"/>
    <s v="Jun"/>
    <x v="2"/>
    <s v="PRJNA688598"/>
    <n v="30.022729999999999"/>
    <n v="31.23789"/>
    <s v="Acinetobacter baumannii"/>
    <n v="470"/>
    <s v="Acinetobacter baumannii"/>
    <n v="470"/>
    <s v="Acinetobacter"/>
    <n v="469"/>
    <s v="Acinetobacter"/>
    <s v="NZ_NXGU01000001.1"/>
    <s v="963/1000"/>
    <n v="0"/>
    <n v="9.0612399999999904E-4"/>
    <s v="Wound"/>
    <s v="Human"/>
    <s v="Cancer"/>
    <s v="Whole Genome Sequencing of Multidrug Resistant Acinetobacter baumannii - CCHE57359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85"/>
    <s v="SAMN17182374"/>
    <s v="Jan"/>
    <x v="2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B010000001.1"/>
    <s v="967/1000"/>
    <n v="0"/>
    <n v="8.0567300000000002E-4"/>
    <s v="CVP Blood"/>
    <s v="Human"/>
    <s v="Cancer"/>
    <s v="Whole Genome Sequencing of Multidrug Resistant Acinetobacter baumannii - CCHE57360"/>
    <s v="Children's Cancer Hospital - Egypt 57357 (CCHE57357)"/>
    <s v="Cairo"/>
    <s v="Egypt"/>
    <n v="0"/>
    <n v="0"/>
    <n v="1"/>
    <n v="0"/>
    <n v="0"/>
    <n v="0"/>
    <n v="0"/>
    <n v="0"/>
    <n v="1"/>
    <n v="0"/>
    <n v="0"/>
    <n v="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86"/>
    <s v="SAMN17182400"/>
    <s v="Nov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GSH010000001.1"/>
    <s v="952/1000"/>
    <n v="0"/>
    <n v="1.1856E-3"/>
    <s v="Blood"/>
    <s v="Human"/>
    <s v="Cancer"/>
    <s v="Whole Genome Sequencing of Multidrug Resistant Acinetobacter baumannii - CCHE57361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13327187"/>
    <s v="SAMN17182399"/>
    <s v="Feb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NXGU01000001.1"/>
    <s v="951/1000"/>
    <n v="0"/>
    <n v="1.2112399999999999E-3"/>
    <s v="CVP Blood"/>
    <s v="Human"/>
    <s v="Cancer"/>
    <s v="Whole Genome Sequencing of Multidrug Resistant Acinetobacter baumannii - CCHE57362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89"/>
    <s v="SAMN17182397"/>
    <s v="May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52/1000"/>
    <n v="0"/>
    <n v="1.1856E-3"/>
    <s v="Blood"/>
    <s v="Human"/>
    <s v="Cancer"/>
    <s v="Whole Genome Sequencing of Multidrug Resistant Acinetobacter baumannii - CCHE57363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90"/>
    <s v="SAMN17182396"/>
    <s v="Apr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53/1000"/>
    <n v="0"/>
    <n v="1.1599900000000001E-3"/>
    <s v="Blood"/>
    <s v="Human"/>
    <s v="Cancer"/>
    <s v="Whole Genome Sequencing of Multidrug Resistant Acinetobacter baumannii - CCHE57364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91"/>
    <s v="SAMN17182395"/>
    <s v="Aug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NXGU01000001.1"/>
    <s v="960/1000"/>
    <n v="0"/>
    <n v="9.8187100000000005E-4"/>
    <s v="Blood"/>
    <s v="Human"/>
    <s v="Cancer"/>
    <s v="Whole Genome Sequencing of Multidrug Resistant Acinetobacter baumannii - CCHE57365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192"/>
    <s v="SAMN17182394"/>
    <s v="Sept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VAGF01000001.1"/>
    <s v="906/1000"/>
    <n v="0"/>
    <n v="2.40836E-3"/>
    <s v="BAL"/>
    <s v="Human"/>
    <s v="Cancer"/>
    <s v="Whole Genome Sequencing of Multidrug Resistant Acinetobacter baumannii - CCHE57366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1"/>
    <n v="0"/>
    <n v="0"/>
    <n v="113"/>
  </r>
  <r>
    <s v="SRR13327193"/>
    <s v="SAMN17182393"/>
    <s v="Sept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WIID01000010.1"/>
    <s v="973/1000"/>
    <n v="0"/>
    <n v="6.5615399999999896E-4"/>
    <s v="BAL"/>
    <s v="Human"/>
    <s v="Cancer"/>
    <s v="Whole Genome Sequencing of Multidrug Resistant Acinetobacter baumannii - CCHE57367"/>
    <s v="Children's Cancer Hospital - Egypt 57357 (CCHE57357)"/>
    <s v="Cairo"/>
    <s v="Egypt"/>
    <n v="0"/>
    <n v="0"/>
    <n v="0"/>
    <n v="0"/>
    <n v="1"/>
    <n v="0"/>
    <n v="0"/>
    <n v="0"/>
    <n v="1"/>
    <n v="0"/>
    <n v="0"/>
    <n v="1"/>
    <n v="1"/>
    <n v="0"/>
    <n v="0"/>
    <n v="0"/>
    <n v="1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SRR13327194"/>
    <s v="SAMN17182392"/>
    <s v="Sept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VAGF01000001.1"/>
    <s v="904/1000"/>
    <n v="0"/>
    <n v="2.4635999999999998E-3"/>
    <s v="BAL"/>
    <s v="Human"/>
    <s v="Cancer"/>
    <s v="Whole Genome Sequencing of Multidrug Resistant Acinetobacter baumannii - CCHE57368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  <n v="0"/>
    <n v="1"/>
    <n v="1"/>
    <n v="0"/>
    <n v="0"/>
    <n v="1"/>
    <n v="0"/>
    <n v="0"/>
    <n v="113"/>
  </r>
  <r>
    <s v="SRR13327196"/>
    <s v="SAMN17182373"/>
    <s v="Nov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FWYM01000084.1"/>
    <s v="938/1000"/>
    <n v="0"/>
    <n v="1.5483199999999999E-3"/>
    <s v="Tissue"/>
    <s v="Human"/>
    <s v="Cancer"/>
    <s v="Whole Genome Sequencing of Multidrug Resistant Acinetobacter baumannii - CCHE57369"/>
    <s v="Children's Cancer Hospital - Egypt 57357 (CCHE57357)"/>
    <s v="Cairo"/>
    <s v="Egypt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s v="-"/>
  </r>
  <r>
    <s v="SRR13327198"/>
    <s v="SAMN17182389"/>
    <s v="Feb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53/1000"/>
    <n v="0"/>
    <n v="1.1599900000000001E-3"/>
    <s v="Blood"/>
    <s v="Human"/>
    <s v="Cancer"/>
    <s v="Whole Genome Sequencing of Multidrug Resistant Acinetobacter baumannii - CCHE57370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s v="-"/>
  </r>
  <r>
    <s v="SRR13327199"/>
    <s v="SAMN17182388"/>
    <s v="Feb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VAOJ01000001.1"/>
    <s v="901/1000"/>
    <n v="0"/>
    <n v="2.5468000000000001E-3"/>
    <s v="Blood"/>
    <s v="Human"/>
    <s v="Cancer"/>
    <s v="Whole Genome Sequencing of Multidrug Resistant Acinetobacter baumannii - CCHE57371"/>
    <s v="Children's Cancer Hospital - Egypt 57357 (CCHE57357)"/>
    <s v="Cairo"/>
    <s v="Egypt"/>
    <n v="0"/>
    <n v="0"/>
    <n v="0"/>
    <n v="0"/>
    <n v="1"/>
    <n v="0"/>
    <n v="0"/>
    <n v="0"/>
    <n v="1"/>
    <n v="0"/>
    <n v="0"/>
    <n v="1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570"/>
  </r>
  <r>
    <s v="SRR13327200"/>
    <s v="SAMN17182387"/>
    <s v="Feb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NXGU01000001.1"/>
    <s v="968/1000"/>
    <n v="0"/>
    <n v="7.8065800000000005E-4"/>
    <s v="CVP Blood"/>
    <s v="Human"/>
    <s v="Cancer"/>
    <s v="Whole Genome Sequencing of Multidrug Resistant Acinetobacter baumannii - CCHE57372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201"/>
    <s v="SAMN17182386"/>
    <s v="Apr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50/1000"/>
    <n v="0"/>
    <n v="1.23693E-3"/>
    <s v="CVP Blood"/>
    <s v="Human"/>
    <s v="Cancer"/>
    <s v="Whole Genome Sequencing of Multidrug Resistant Acinetobacter baumannii - CCHE57373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203"/>
    <s v="SAMN17182384"/>
    <s v="Jul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B010000001.1"/>
    <s v="941/1000"/>
    <n v="0"/>
    <n v="1.46992E-3"/>
    <s v="Blood"/>
    <s v="Human"/>
    <s v="Cancer"/>
    <s v="Whole Genome Sequencing of Multidrug Resistant Acinetobacter baumannii - CCHE57374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204"/>
    <s v="SAMN17182383"/>
    <s v="Jul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B010000001.1"/>
    <s v="941/1000"/>
    <n v="0"/>
    <n v="1.46992E-3"/>
    <s v="Blood"/>
    <s v="Human"/>
    <s v="Cancer"/>
    <s v="Whole Genome Sequencing of Multidrug Resistant Acinetobacter baumannii - CCHE57375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205"/>
    <s v="SAMN17182382"/>
    <s v="Oct"/>
    <x v="8"/>
    <s v="PRJNA688598"/>
    <n v="30.022729999999999"/>
    <n v="31.23789"/>
    <s v="Acinetobacter baumannii"/>
    <n v="470"/>
    <s v="Acinetobacter baumannii"/>
    <n v="470"/>
    <s v="Acinetobacter"/>
    <n v="469"/>
    <s v="Acinetobacter"/>
    <s v="NZ_JAAGSH010000001.1"/>
    <s v="953/1000"/>
    <n v="0"/>
    <n v="1.1599900000000001E-3"/>
    <s v="Blood"/>
    <s v="Human"/>
    <s v="Cancer"/>
    <s v="Whole Genome Sequencing of Multidrug Resistant Acinetobacter baumannii - CCHE57376"/>
    <s v="Children's Cancer Hospital - Egypt 57357 (CCHE57357)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13327206"/>
    <s v="SAMN17182381"/>
    <s v="Jul"/>
    <x v="2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48/1000"/>
    <n v="0"/>
    <n v="1.28842E-3"/>
    <s v="BAL"/>
    <s v="Human"/>
    <s v="Cancer"/>
    <s v="Whole Genome Sequencing of Multidrug Resistant Acinetobacter baumannii - CCHE57377"/>
    <s v="Children's Cancer Hospital - Egypt 57357 (CCHE57357)"/>
    <s v="Cairo"/>
    <s v="Egypt"/>
    <n v="0"/>
    <n v="0"/>
    <n v="1"/>
    <n v="0"/>
    <n v="0"/>
    <n v="0"/>
    <n v="0"/>
    <n v="0"/>
    <n v="1"/>
    <n v="0"/>
    <n v="1"/>
    <n v="1"/>
    <n v="1"/>
    <n v="0"/>
    <n v="0"/>
    <n v="0"/>
    <n v="1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327207"/>
    <s v="SAMN17182372"/>
    <s v="Oct"/>
    <x v="4"/>
    <s v="PRJNA688598"/>
    <n v="30.022729999999999"/>
    <n v="31.23789"/>
    <s v="Acinetobacter baumannii"/>
    <n v="470"/>
    <s v="Acinetobacter baumannii"/>
    <n v="470"/>
    <s v="Acinetobacter"/>
    <n v="469"/>
    <s v="Acinetobacter"/>
    <s v="NZ_JAAOSU010000001.1"/>
    <s v="965/1000"/>
    <n v="0"/>
    <n v="8.5582099999999999E-4"/>
    <s v="BAL"/>
    <s v="Human"/>
    <s v="Cancer"/>
    <s v="Whole Genome Sequencing of Multidrug Resistant Acinetobacter baumannii - CCHE57378"/>
    <s v="Children's Cancer Hospital - Egypt 57357 (CCHE57357)"/>
    <s v="Cairo"/>
    <s v="Egypt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13401434"/>
    <s v="SAMN17265991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SNVM01000001.1"/>
    <s v="869/1000"/>
    <n v="0"/>
    <n v="3.4604000000000002E-3"/>
    <s v="Endotracheal tube"/>
    <s v="Human"/>
    <s v="Chest infection"/>
    <s v="Whole genome sequencing of multidrug resistant Acinetobacter baumannii clinical isolates"/>
    <s v="October University for Modern Sciences and Arts"/>
    <s v="Cairo"/>
    <s v="Egypt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SRR13430624"/>
    <s v="SAMN17265995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NKXQ01000001.1"/>
    <s v="853/1000"/>
    <n v="0"/>
    <n v="3.9359299999999998E-3"/>
    <s v="Blood culture"/>
    <s v="Human"/>
    <s v="VAP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13430625"/>
    <s v="SAMN17265994"/>
    <m/>
    <x v="9"/>
    <s v="PRJNA690827"/>
    <n v="30.03"/>
    <n v="31.23"/>
    <s v="Acinetobacter baumannii"/>
    <n v="470"/>
    <s v="Acinetobacter baumannii"/>
    <n v="470"/>
    <s v="Acinetobacter"/>
    <n v="469"/>
    <s v="Acinetobacter"/>
    <s v="NZ_VAOM01000001.1"/>
    <s v="946/1000"/>
    <n v="0"/>
    <n v="1.3400700000000001E-3"/>
    <s v="Sputum"/>
    <s v="Human"/>
    <s v="Chest infection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2"/>
  </r>
  <r>
    <s v="SRR13430626"/>
    <s v="SAMN17265993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NEPX01000100.1"/>
    <s v="833/1000"/>
    <n v="0"/>
    <n v="4.5489700000000003E-3"/>
    <s v="Blood"/>
    <s v="Human"/>
    <s v="Fever 40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1"/>
    <n v="0"/>
    <n v="0"/>
    <n v="113"/>
  </r>
  <r>
    <s v="SRR13430627"/>
    <s v="SAMN17265992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QKWE01000001.1"/>
    <s v="926/1000"/>
    <n v="0"/>
    <n v="1.86568E-3"/>
    <s v="Wound"/>
    <s v="Human"/>
    <s v="Sub ovarian abscess removal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85"/>
  </r>
  <r>
    <s v="SRR14100602"/>
    <s v="SAMN17266001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MWTW01000001.1"/>
    <s v="922/1000"/>
    <n v="0"/>
    <n v="1.9728200000000001E-3"/>
    <s v="pleural"/>
    <s v="Human"/>
    <s v="Pneumonia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1"/>
    <n v="0"/>
    <n v="0"/>
    <n v="0"/>
    <n v="0"/>
    <n v="0"/>
    <n v="85"/>
  </r>
  <r>
    <s v="SRR14101519"/>
    <s v="SAMN17266004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NEPX01000100.1"/>
    <s v="806/1000"/>
    <n v="0"/>
    <n v="5.4113700000000004E-3"/>
    <s v="Urine"/>
    <s v="Human"/>
    <s v="FUO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s v="-"/>
  </r>
  <r>
    <s v="SRR14101547"/>
    <s v="SAMN17266002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AMDE01000001.1"/>
    <s v="904/1000"/>
    <n v="0"/>
    <n v="2.4635999999999998E-3"/>
    <s v="Blood culture"/>
    <s v="Human"/>
    <s v="FUO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9"/>
  </r>
  <r>
    <s v="SRR14101709"/>
    <s v="SAMN17266003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WIHK01000100.1"/>
    <s v="930/1000"/>
    <n v="0"/>
    <n v="1.7592199999999999E-3"/>
    <s v="Wound"/>
    <s v="Human"/>
    <s v="FUO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2"/>
  </r>
  <r>
    <s v="SRR14101949"/>
    <s v="SAMN17266005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AMDE01000001.1"/>
    <s v="923/1000"/>
    <n v="0"/>
    <n v="1.94597E-3"/>
    <s v="Wound"/>
    <s v="Human"/>
    <s v="Burn 7% face and neck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9"/>
  </r>
  <r>
    <s v="SRR14102219"/>
    <s v="SAMN17266006"/>
    <m/>
    <x v="9"/>
    <s v="PRJNA690827"/>
    <n v="30.03"/>
    <n v="31.23"/>
    <s v="Acinetobacter baumannii"/>
    <n v="470"/>
    <s v="Acinetobacter baumannii"/>
    <n v="470"/>
    <s v="Acinetobacter"/>
    <n v="469"/>
    <s v="Acinetobacter"/>
    <s v="NZ_UFPQ01000049.1"/>
    <s v="879/1000"/>
    <n v="0"/>
    <n v="3.1696599999999999E-3"/>
    <s v="Blood"/>
    <s v="Human"/>
    <s v="Fever 40"/>
    <s v="Whole genome sequencing of multidrug resistant Acinetobacter baumannii clinical isolates"/>
    <s v="October University for Modern Sciences and Arts"/>
    <s v="Cairo"/>
    <s v="Egypt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1"/>
    <n v="0"/>
    <n v="0"/>
    <n v="0"/>
    <n v="0"/>
    <n v="0"/>
    <n v="2"/>
  </r>
  <r>
    <s v="SRR14102306"/>
    <s v="SAMN17266007"/>
    <s v="Jul"/>
    <x v="9"/>
    <s v="PRJNA690827"/>
    <n v="30.03"/>
    <n v="31.23"/>
    <s v="Acinetobacter baumannii"/>
    <n v="470"/>
    <s v="Acinetobacter baumannii"/>
    <n v="470"/>
    <s v="Acinetobacter"/>
    <n v="469"/>
    <s v="Acinetobacter"/>
    <s v="NZ_CM009036.2"/>
    <s v="895/1000"/>
    <n v="0"/>
    <n v="2.7144399999999998E-3"/>
    <s v="Sputum"/>
    <s v="Human"/>
    <s v="Stroke"/>
    <s v="Whole genome sequencing of multidrug resistant Acinetobacter baumannii clinical isolates"/>
    <s v="October University for Modern Sciences and Arts"/>
    <s v="Cairo"/>
    <s v="Egypt"/>
    <n v="0"/>
    <n v="0"/>
    <n v="0"/>
    <n v="0"/>
    <n v="1"/>
    <n v="0"/>
    <n v="0"/>
    <n v="0"/>
    <n v="1"/>
    <n v="0"/>
    <n v="0"/>
    <n v="1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0"/>
    <n v="0"/>
    <n v="0"/>
    <n v="2"/>
  </r>
  <r>
    <s v="SRR14102521"/>
    <s v="SAMN17266008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LKMB01000001.1"/>
    <s v="929/1000"/>
    <n v="0"/>
    <n v="1.7857699999999999E-3"/>
    <s v="Blood"/>
    <s v="Human"/>
    <s v="FUO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85"/>
  </r>
  <r>
    <s v="SRR14116705"/>
    <s v="SAMN17266009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UFKG01000087.1"/>
    <s v="812/1000"/>
    <n v="0"/>
    <n v="5.2161400000000002E-3"/>
    <s v="Blood"/>
    <s v="Human"/>
    <s v="FUO"/>
    <s v="Whole genome sequencing of multidrug resistant Acinetobacter baumannii clinical isolates"/>
    <s v="October University for Modern Sciences and Arts"/>
    <s v="Cairo"/>
    <s v="Egypt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"/>
  </r>
  <r>
    <s v="SRR14116736"/>
    <s v="SAMN17266010"/>
    <s v="-"/>
    <x v="9"/>
    <s v="PRJNA690827"/>
    <n v="30.03"/>
    <n v="31.23"/>
    <s v="Acinetobacter baumannii"/>
    <n v="470"/>
    <s v="Acinetobacter baumannii"/>
    <n v="470"/>
    <s v="Acinetobacter"/>
    <n v="469"/>
    <s v="Acinetobacter"/>
    <s v="NZ_LYNL01000001.1"/>
    <s v="836/1000"/>
    <n v="0"/>
    <n v="4.4556600000000002E-3"/>
    <s v="Blood"/>
    <s v="Human"/>
    <s v="Splenectomy and feverish"/>
    <s v="Whole genome sequencing of multidrug resistant Acinetobacter baumannii clinical isolates"/>
    <s v="October University for Modern Sciences and Arts"/>
    <s v="Cairo"/>
    <s v="Egypt"/>
    <n v="0"/>
    <n v="0"/>
    <n v="0"/>
    <n v="0"/>
    <n v="1"/>
    <n v="0"/>
    <n v="0"/>
    <n v="0"/>
    <n v="1"/>
    <n v="0"/>
    <n v="0"/>
    <n v="1"/>
    <n v="0"/>
    <n v="1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570"/>
  </r>
  <r>
    <s v="SRR14280111"/>
    <s v="SAMN18520915"/>
    <s v="May"/>
    <x v="2"/>
    <s v="PRJNA718726"/>
    <n v="-29"/>
    <n v="24"/>
    <s v="Acinetobacter baumannii"/>
    <n v="470"/>
    <s v="Acinetobacter baumannii"/>
    <n v="470"/>
    <s v="Acinetobacter"/>
    <n v="469"/>
    <s v="Acinetobacter"/>
    <s v="NZ_CP051866.1"/>
    <s v="916/1000"/>
    <n v="0"/>
    <n v="2.1348299999999999E-3"/>
    <s v="hospital wastewater"/>
    <m/>
    <m/>
    <s v="Acinetobacter baumannii strain:FG116 Genome sequencing and assembly"/>
    <s v="UKZN"/>
    <m/>
    <s v="South Africa"/>
    <n v="0"/>
    <n v="0"/>
    <n v="0"/>
    <n v="0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07"/>
  </r>
  <r>
    <s v="SRR14455652"/>
    <s v="SAMN18781032"/>
    <s v="Aug"/>
    <x v="2"/>
    <s v="PRJNA722597"/>
    <n v="-28.3"/>
    <n v="25.3"/>
    <s v="Acinetobacter baumannii"/>
    <n v="470"/>
    <s v="Acinetobacter baumannii"/>
    <n v="470"/>
    <s v="Acinetobacter"/>
    <n v="469"/>
    <s v="Acinetobacter"/>
    <s v="NZ_CACRXX010000001.1"/>
    <s v="980/1000"/>
    <n v="0"/>
    <n v="4.8344600000000001E-4"/>
    <m/>
    <s v="Human"/>
    <s v="VAP"/>
    <s v="Acinetobacter baumannii strain:FG121 Genome sequencing and assembly"/>
    <s v="UKZN"/>
    <s v="KwaZulu-Natal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17931033"/>
    <s v="SAMN25722230"/>
    <s v="Jan"/>
    <x v="5"/>
    <s v="PRJNA804332"/>
    <n v="-1.2833300000000001"/>
    <n v="36.816670000000002"/>
    <s v="Acinetobacter baumannii"/>
    <n v="470"/>
    <s v="Acinetobacter baumannii"/>
    <n v="470"/>
    <s v="Acinetobacter"/>
    <n v="469"/>
    <s v="Acinetobacter"/>
    <s v="NZ_JAAEFW010000001.1"/>
    <s v="947/1000"/>
    <n v="0"/>
    <n v="1.31423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s v="Kenya"/>
    <n v="0"/>
    <n v="0"/>
    <n v="1"/>
    <n v="0"/>
    <n v="1"/>
    <n v="0"/>
    <n v="0"/>
    <n v="0"/>
    <n v="1"/>
    <n v="0"/>
    <n v="0"/>
    <n v="1"/>
    <n v="1"/>
    <n v="1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1"/>
    <n v="0"/>
    <n v="1"/>
    <n v="0"/>
    <n v="0"/>
    <n v="1"/>
    <n v="0"/>
    <n v="0"/>
    <n v="1"/>
    <n v="0"/>
    <n v="0"/>
    <n v="2"/>
  </r>
  <r>
    <s v="SRR17931048"/>
    <s v="SAMN25722314"/>
    <s v="Apr"/>
    <x v="5"/>
    <s v="PRJNA804332"/>
    <n v="-1.2833300000000001"/>
    <n v="36.816670000000002"/>
    <s v="Acinetobacter baumannii"/>
    <n v="470"/>
    <s v="Acinetobacter baumannii"/>
    <n v="470"/>
    <s v="Acinetobacter"/>
    <n v="469"/>
    <s v="Acinetobacter"/>
    <s v="NZ_VHEV01000001.1"/>
    <s v="826/1000"/>
    <n v="0"/>
    <n v="4.7686200000000003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s v="Kenya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  <n v="1"/>
    <n v="0"/>
    <n v="1"/>
    <n v="1"/>
    <n v="0"/>
    <n v="0"/>
    <n v="1"/>
    <n v="0"/>
    <n v="0"/>
    <n v="54"/>
  </r>
  <r>
    <s v="SRR17931144"/>
    <s v="SAMN25722229"/>
    <s v="Mar"/>
    <x v="5"/>
    <s v="PRJNA804332"/>
    <n v="-1.2833300000000001"/>
    <n v="36.816670000000002"/>
    <s v="Acinetobacter baumannii"/>
    <n v="470"/>
    <s v="Acinetobacter baumannii"/>
    <n v="470"/>
    <s v="Acinetobacter"/>
    <n v="469"/>
    <s v="Acinetobacter"/>
    <s v="NZ_VHEE01000001.1"/>
    <s v="871/1000"/>
    <n v="0"/>
    <n v="3.40187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s v="Keny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s v="SRR17931145"/>
    <s v="SAMN25722228"/>
    <s v="Jan"/>
    <x v="5"/>
    <s v="PRJNA804332"/>
    <n v="-1.2833300000000001"/>
    <n v="36.816670000000002"/>
    <s v="Acinetobacter baumannii"/>
    <n v="470"/>
    <s v="Acinetobacter baumannii"/>
    <n v="470"/>
    <s v="Acinetobacter"/>
    <n v="469"/>
    <s v="Acinetobacter"/>
    <s v="NZ_VHEE01000001.1"/>
    <s v="874/1000"/>
    <n v="0"/>
    <n v="3.3144200000000002E-3"/>
    <s v="Screening swab"/>
    <s v="Human"/>
    <m/>
    <s v="Genomic transmission analysis of multidrug-resistant Gram-negative bacteria within a newborn unit of a Kenyan Tertiary hospital"/>
    <s v="University Hospital, Goethe University Frankfurt am Main, Germany"/>
    <m/>
    <s v="Keny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s v="SRR18114233"/>
    <s v="SAMN26149365"/>
    <s v="May"/>
    <x v="2"/>
    <s v="PRJNA719017"/>
    <n v="-28.503833"/>
    <n v="30.887500899999999"/>
    <s v="Acinetobacter baumannii"/>
    <n v="470"/>
    <s v="Acinetobacter baumannii"/>
    <n v="470"/>
    <s v="Acinetobacter"/>
    <n v="469"/>
    <s v="Acinetobacter"/>
    <s v="NZ_CACRXQ010000001.1"/>
    <s v="982/1000"/>
    <n v="0"/>
    <n v="4.3443900000000001E-4"/>
    <s v="hospital wastewater"/>
    <m/>
    <m/>
    <s v="Acinetobacter baumannii Genome sequencing and assembly"/>
    <s v="Zoonosis Science Center"/>
    <s v="KwaZulu-Natal"/>
    <s v="South Afric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19107616"/>
    <s v="SAMN28104610"/>
    <s v="-"/>
    <x v="10"/>
    <s v="PRJNA835506"/>
    <n v="-25.44"/>
    <n v="28.11"/>
    <s v="Acinetobacter baumannii"/>
    <n v="470"/>
    <s v="Acinetobacter baumannii"/>
    <n v="470"/>
    <s v="Acinetobacter"/>
    <n v="469"/>
    <s v="Acinetobacter"/>
    <s v="NZ_CP010781.1"/>
    <s v="920/1000"/>
    <n v="0"/>
    <n v="2.0266500000000001E-3"/>
    <s v="Respiratory tract"/>
    <s v="Human"/>
    <s v="Respiratory infection"/>
    <s v="Other GC1 Acinetobacter baumannii Genome sequencing and assembly"/>
    <s v="The University of Sydney"/>
    <m/>
    <s v="South Africa"/>
    <n v="0"/>
    <n v="0"/>
    <n v="1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  <n v="1"/>
    <n v="0"/>
    <n v="1"/>
    <n v="0"/>
    <n v="0"/>
    <n v="0"/>
    <n v="0"/>
    <n v="1"/>
    <n v="0"/>
    <n v="0"/>
    <n v="0"/>
    <n v="1"/>
  </r>
  <r>
    <s v="SRR25445074"/>
    <s v="SAMN36721169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NEOV01000010.1"/>
    <s v="948/1000"/>
    <n v="0"/>
    <n v="1.28842E-3"/>
    <s v="Dial devi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SRR25445075"/>
    <s v="SAMN36721168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NEOV01000010.1"/>
    <s v="948/1000"/>
    <n v="0"/>
    <n v="1.28842E-3"/>
    <s v="Bed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SRR25445076"/>
    <s v="SAMN36721167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NEOV01000010.1"/>
    <s v="949/1000"/>
    <n v="0"/>
    <n v="1.26264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SRR25445077"/>
    <s v="SAMN36721166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PYEF01000010.1"/>
    <s v="943/1000"/>
    <n v="0"/>
    <n v="1.41786E-3"/>
    <s v="Bed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  <n v="1"/>
    <n v="0"/>
    <n v="0"/>
    <n v="2"/>
  </r>
  <r>
    <s v="SRR25445078"/>
    <s v="SAMN3672121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2/1000"/>
    <n v="0"/>
    <n v="1.4438700000000001E-3"/>
    <s v="Stethoscop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79"/>
    <s v="SAMN3672121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Syringe drive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0"/>
    <s v="SAMN3672121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8/1000"/>
    <n v="0"/>
    <n v="1.28842E-3"/>
    <s v="Para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1"/>
    <s v="SAMN3672121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0/1000"/>
    <n v="0"/>
    <n v="1.23693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2"/>
    <s v="SAMN3672121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3"/>
    <s v="SAMN36721165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MWTZ01000001.1"/>
    <s v="966/1000"/>
    <n v="0"/>
    <n v="8.3072799999999998E-4"/>
    <s v="Stethoscop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5445084"/>
    <s v="SAMN36721209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4/1000"/>
    <n v="0"/>
    <n v="1.1344300000000001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2"/>
  </r>
  <r>
    <s v="SRR25445085"/>
    <s v="SAMN36721208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6"/>
    <s v="SAMN36721207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RI01000001.1"/>
    <s v="946/1000"/>
    <n v="0"/>
    <n v="1.3400700000000001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7"/>
    <s v="SAMN36721206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8/1000"/>
    <n v="0"/>
    <n v="1.28842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8"/>
    <s v="SAMN36721205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37/1000"/>
    <n v="0"/>
    <n v="1.57453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89"/>
    <s v="SAMN3672120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0"/>
    <s v="SAMN3672120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Syringe drive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1"/>
    <s v="SAMN3672120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Refrigerator handl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2"/>
    <s v="SAMN3672120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3"/>
    <s v="SAMN3672120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RI01000001.1"/>
    <s v="459/1000"/>
    <n v="0"/>
    <n v="2.20623E-2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4"/>
    <s v="SAMN3672116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HGP01000001.1"/>
    <s v="986/1000"/>
    <n v="0"/>
    <n v="3.36872E-4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5445095"/>
    <s v="SAMN36721199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1/1000"/>
    <n v="0"/>
    <n v="1.46992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6"/>
    <s v="SAMN36721198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7"/>
    <s v="SAMN36721197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8"/>
    <s v="SAMN36721196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5/1000"/>
    <n v="0"/>
    <n v="1.36596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099"/>
    <s v="SAMN36721195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Bed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0"/>
    <s v="SAMN3672119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1"/>
    <s v="SAMN3672119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Respiratory assistance devi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2"/>
    <s v="SAMN3672119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6/1000"/>
    <n v="0"/>
    <n v="1.3400700000000001E-3"/>
    <s v="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3"/>
    <s v="SAMN3672119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4"/>
    <s v="SAMN3672119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5"/>
    <s v="SAMN3672116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HGP01000001.1"/>
    <s v="980/1000"/>
    <n v="0"/>
    <n v="4.8344600000000001E-4"/>
    <s v="Defibrilato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5445106"/>
    <s v="SAMN36721189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7"/>
    <s v="SAMN36721188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5/1000"/>
    <n v="0"/>
    <n v="1.36596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8"/>
    <s v="SAMN36721187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Paramedical personnel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09"/>
    <s v="SAMN36721186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1/1000"/>
    <n v="0"/>
    <n v="1.46992E-3"/>
    <s v="Disinfectant dispense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0"/>
    <s v="SAMN36721185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6/1000"/>
    <n v="0"/>
    <n v="1.0834200000000001E-3"/>
    <s v="ECG devi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1"/>
    <s v="SAMN3672118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JQSD01000001.1"/>
    <s v="951/1000"/>
    <n v="0"/>
    <n v="1.21123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2"/>
    <s v="SAMN3672118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5/1000"/>
    <n v="0"/>
    <n v="1.1088999999999999E-3"/>
    <s v="IV pol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3"/>
    <s v="SAMN3672118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23/1000"/>
    <n v="0"/>
    <n v="1.94597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4"/>
    <s v="SAMN3672118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50/1000"/>
    <n v="0"/>
    <n v="1.23693E-3"/>
    <s v="Bed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5"/>
    <s v="SAMN3672118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6/1000"/>
    <n v="0"/>
    <n v="1.3400700000000001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6"/>
    <s v="SAMN3672116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MWTZ01000001.1"/>
    <s v="973/1000"/>
    <n v="0"/>
    <n v="6.5615400000000005E-4"/>
    <s v="Soap dispense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5445117"/>
    <s v="SAMN36721179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30/1000"/>
    <n v="0"/>
    <n v="1.7592199999999999E-3"/>
    <s v="Stethoscop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8"/>
    <s v="SAMN36721178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JQSD01000001.1"/>
    <s v="948/1000"/>
    <n v="0"/>
    <n v="1.28842E-3"/>
    <s v="Paramedical personnel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19"/>
    <s v="SAMN36721177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UFOW01000054.1"/>
    <s v="944/1000"/>
    <n v="0"/>
    <n v="1.39189E-3"/>
    <s v="Bed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0"/>
    <s v="SAMN36721176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Defibrilato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1"/>
    <s v="SAMN36721175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2"/>
    <s v="SAMN36721174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NEPI01000010.1"/>
    <s v="948/1000"/>
    <n v="0"/>
    <n v="1.28842E-3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3"/>
    <s v="SAMN36721173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Soap dispenser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4"/>
    <s v="SAMN36721172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Furniture surfa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5"/>
    <s v="SAMN3672117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5/1000"/>
    <n v="0"/>
    <n v="1.1088999999999999E-3"/>
    <s v="patient"/>
    <s v="Human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6"/>
    <s v="SAMN3672117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AFR01000001.1"/>
    <s v="951/1000"/>
    <n v="0"/>
    <n v="1.2112399999999999E-3"/>
    <s v="Furniture surfa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  <n v="0"/>
    <n v="0"/>
    <n v="2"/>
  </r>
  <r>
    <s v="SRR25445127"/>
    <s v="SAMN36721161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MWTZ01000001.1"/>
    <s v="958/1000"/>
    <n v="0"/>
    <n v="1.0325600000000001E-3"/>
    <s v="Furniture surface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5445128"/>
    <s v="SAMN36721160"/>
    <s v="-"/>
    <x v="0"/>
    <s v="PRJNA999198"/>
    <n v="33.886916999999997"/>
    <n v="9.5374990000000004"/>
    <s v="Acinetobacter baumannii"/>
    <n v="470"/>
    <s v="Acinetobacter baumannii"/>
    <n v="470"/>
    <s v="Acinetobacter"/>
    <n v="469"/>
    <s v="Acinetobacter"/>
    <s v="NZ_VHGP01000001.1"/>
    <s v="987/1000"/>
    <n v="0"/>
    <n v="3.1257300000000002E-4"/>
    <s v="Care cart"/>
    <s v="N/A"/>
    <m/>
    <s v="Healthcare environment Acinetobacter baumannii in Tunisian"/>
    <s v="ANSES"/>
    <m/>
    <s v="Tunisian"/>
    <n v="0"/>
    <n v="0"/>
    <n v="0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0"/>
    <n v="0"/>
    <n v="0"/>
    <n v="0"/>
    <n v="85"/>
  </r>
  <r>
    <s v="SRR28167554"/>
    <s v="SAMN40205360"/>
    <s v="Dec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55"/>
    <s v="SAMN40205359"/>
    <s v="Dec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56"/>
    <s v="SAMN40205358"/>
    <s v="Nov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57"/>
    <s v="SAMN40205341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RFBY01000001.1"/>
    <s v="748/1000"/>
    <n v="0"/>
    <n v="7.4132099999999999E-3"/>
    <s v="Sink basin"/>
    <s v="Environment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"/>
  </r>
  <r>
    <s v="SRR28167558"/>
    <s v="SAMN40205357"/>
    <s v="Nov"/>
    <x v="0"/>
    <s v="PRJNA1082310"/>
    <n v="-24.65"/>
    <n v="25.9"/>
    <s v="Acinetobacter baumannii"/>
    <n v="470"/>
    <s v="Acinetobacter baumannii"/>
    <n v="470"/>
    <s v="Acinetobacter"/>
    <n v="469"/>
    <s v="Acinetobacter"/>
    <s v="NZ_QFBX01000001.1"/>
    <s v="851/1000"/>
    <n v="0"/>
    <n v="3.9962900000000004E-3"/>
    <s v="Blood"/>
    <s v="Human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</r>
  <r>
    <s v="SRR28167559"/>
    <s v="SAMN40205356"/>
    <s v="Nov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8/1000"/>
    <n v="0"/>
    <s v="4.76906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0"/>
    <s v="SAMN40205355"/>
    <s v="Oct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1"/>
    <s v="SAMN40205354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2"/>
    <s v="SAMN40205353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3"/>
    <s v="SAMN40205352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JAAGTZ010000001.1"/>
    <s v="850/1000"/>
    <n v="0"/>
    <n v="4.0265400000000003E-3"/>
    <s v="Blood"/>
    <s v="Human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6"/>
  </r>
  <r>
    <s v="SRR28167564"/>
    <s v="SAMN40205351"/>
    <s v="Jul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5"/>
    <s v="SAMN40205350"/>
    <s v="Jun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83/1000"/>
    <n v="0"/>
    <n v="4.0999199999999997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6"/>
    <s v="SAMN40205349"/>
    <s v="Jun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7"/>
    <s v="SAMN40205348"/>
    <s v="Jun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69"/>
    <s v="SAMN40205347"/>
    <s v="May"/>
    <x v="1"/>
    <s v="PRJNA1082310"/>
    <n v="-24.65"/>
    <n v="25.9"/>
    <s v="Acinetobacter baumannii"/>
    <n v="470"/>
    <s v="Acinetobacter baumannii"/>
    <n v="470"/>
    <s v="Acinetobacter"/>
    <n v="469"/>
    <s v="Acinetobacter"/>
    <s v="NZ_OVBZ01000056.1"/>
    <s v="521/1000"/>
    <n v="0"/>
    <n v="1.80108E-2"/>
    <s v="Blood"/>
    <s v="Human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"/>
  </r>
  <r>
    <s v="SRR28167570"/>
    <s v="SAMN40205346"/>
    <s v="May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85/1000"/>
    <n v="0"/>
    <n v="3.6120800000000002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1"/>
    <n v="1"/>
    <n v="1"/>
    <n v="0"/>
    <n v="0"/>
    <n v="1"/>
    <n v="0"/>
    <n v="0"/>
    <n v="1"/>
  </r>
  <r>
    <s v="SRR28167571"/>
    <s v="SAMN40205345"/>
    <s v="Mar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3/1000"/>
    <n v="0"/>
    <n v="1.67546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2"/>
    <s v="SAMN40205344"/>
    <s v="Mar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3"/>
    <s v="SAMN40205325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2/1000"/>
    <n v="0"/>
    <n v="1.91626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4"/>
    <s v="SAMN40205324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2/1000"/>
    <n v="0"/>
    <n v="1.91626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5"/>
    <s v="SAMN40205323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1/1000"/>
    <n v="0"/>
    <n v="2.15742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0"/>
    <n v="0"/>
    <n v="0"/>
    <n v="1"/>
  </r>
  <r>
    <s v="SRR28167576"/>
    <s v="SAMN40205322"/>
    <s v="Aug"/>
    <x v="1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4/1000"/>
    <n v="0"/>
    <n v="1.4350300000000001E-4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0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7"/>
    <s v="SAMN40205321"/>
    <s v="May"/>
    <x v="1"/>
    <s v="PRJNA1082310"/>
    <n v="-24.65"/>
    <n v="25.9"/>
    <s v="Acinetobacter baumannii"/>
    <n v="470"/>
    <s v="Acinetobacter baumannii"/>
    <n v="470"/>
    <s v="Acinetobacter"/>
    <n v="469"/>
    <s v="Acinetobacter"/>
    <s v="NZ_RFCR01000018.1"/>
    <s v="927/1000"/>
    <n v="0"/>
    <n v="1.8389999999999999E-3"/>
    <s v="Blood"/>
    <s v="Human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8"/>
  </r>
  <r>
    <s v="SRR28167578"/>
    <s v="SAMN40205320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Blood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79"/>
    <s v="SAMN40205337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Hand swab"/>
    <s v="Human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81"/>
    <s v="SAMN40205326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Environmental swab"/>
    <s v="Environment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82"/>
    <s v="SAMN40205343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CACRYG010000001.1"/>
    <s v="997/1000"/>
    <n v="0"/>
    <s v="7.15897e-05"/>
    <s v="Sink basin"/>
    <s v="Environment"/>
    <m/>
    <s v="Botswana_Acinetobacter_baumannii"/>
    <s v="Children's Hospital of Philadelphia"/>
    <m/>
    <s v="Bostwana"/>
    <n v="0"/>
    <n v="0"/>
    <n v="1"/>
    <n v="0"/>
    <n v="0"/>
    <n v="0"/>
    <n v="0"/>
    <n v="0"/>
    <n v="1"/>
    <n v="0"/>
    <n v="0"/>
    <n v="1"/>
    <n v="1"/>
    <n v="1"/>
    <n v="0"/>
    <n v="0"/>
    <n v="0"/>
    <n v="0"/>
    <n v="1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1"/>
    <n v="1"/>
    <n v="0"/>
    <n v="0"/>
    <n v="1"/>
    <n v="0"/>
    <n v="0"/>
    <n v="1"/>
  </r>
  <r>
    <s v="SRR28167584"/>
    <s v="SAMN40205340"/>
    <s v="Apr"/>
    <x v="0"/>
    <s v="PRJNA1082310"/>
    <n v="-24.65"/>
    <n v="25.9"/>
    <s v="Acinetobacter baumannii"/>
    <n v="470"/>
    <s v="Acinetobacter baumannii"/>
    <n v="470"/>
    <s v="Acinetobacter"/>
    <n v="469"/>
    <s v="Acinetobacter"/>
    <s v="NZ_RFBY01000001.1"/>
    <s v="748/1000"/>
    <n v="0"/>
    <n v="7.4132099999999999E-3"/>
    <s v="Sink plumbing trap"/>
    <s v="Environment"/>
    <m/>
    <s v="Botswana_Acinetobacter_baumannii"/>
    <s v="Children's Hospital of Philadelphia"/>
    <m/>
    <s v="Bostwana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"/>
  </r>
  <r>
    <s v="SRR28824822"/>
    <s v="SAMN41107056"/>
    <s v="Apr"/>
    <x v="11"/>
    <s v="PRJNA835506"/>
    <n v="21"/>
    <n v="105.83"/>
    <s v="Acinetobacter baumannii"/>
    <n v="470"/>
    <s v="Acinetobacter baumannii"/>
    <n v="470"/>
    <s v="Acinetobacter"/>
    <n v="469"/>
    <s v="Acinetobacter"/>
    <s v="NZ_UCTL02000001.1"/>
    <s v="998/1000"/>
    <n v="0"/>
    <s v="4.76906e-05"/>
    <s v="Carriage"/>
    <s v="Human"/>
    <m/>
    <s v="Other GC1 Acinetobacter baumannii Genome sequencing and assembly"/>
    <s v="The University of Sydney"/>
    <m/>
    <m/>
    <n v="0"/>
    <n v="0"/>
    <n v="1"/>
    <n v="0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1"/>
  </r>
  <r>
    <s v="SRR8618098"/>
    <s v="SAMN09768096"/>
    <s v="Jan"/>
    <x v="12"/>
    <s v="PRJNA411997"/>
    <n v="6.6665999999999999"/>
    <n v="-1.6163000000000001"/>
    <s v="Acinetobacter baumannii"/>
    <n v="470"/>
    <s v="Acinetobacter baumannii"/>
    <n v="470"/>
    <s v="Acinetobacter"/>
    <n v="469"/>
    <s v="Acinetobacter"/>
    <s v="NZ_QTKC01000085.1"/>
    <s v="995/1000"/>
    <n v="0"/>
    <n v="1.19496E-4"/>
    <s v="urethral swab"/>
    <s v="Human"/>
    <s v="Uritritis"/>
    <s v="MDR ESKAPE pathogens"/>
    <s v="_x000a_Norwegian National Advisory Unit on Detection of Antimicrobial Resistance"/>
    <s v="Kumasi"/>
    <s v="Ghan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64"/>
  </r>
  <r>
    <s v="SRR8618099"/>
    <s v="SAMN07692765"/>
    <s v="Jan"/>
    <x v="12"/>
    <s v="PRJNA411997"/>
    <n v="6.6665999999999999"/>
    <n v="-1.6163000000000001"/>
    <s v="Acinetobacter baumannii"/>
    <n v="470"/>
    <s v="Acinetobacter baumannii"/>
    <n v="470"/>
    <s v="Acinetobacter"/>
    <n v="469"/>
    <s v="Acinetobacter"/>
    <s v="NZ_QTKC01000085.1"/>
    <s v="997/1000"/>
    <n v="0"/>
    <s v="7.15897e-05"/>
    <s v="Urine"/>
    <s v="Human"/>
    <s v="UTI"/>
    <s v="MDR ESKAPE pathogens"/>
    <s v="_x000a_Norwegian National Advisory Unit on Detection of Antimicrobial Resistance"/>
    <s v="Kumasi"/>
    <s v="Ghana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164"/>
  </r>
  <r>
    <s v="SRR9017260"/>
    <s v="SAMN11096027"/>
    <s v="Jan"/>
    <x v="5"/>
    <s v="PRJNA526336"/>
    <n v="15.16"/>
    <n v="31.5"/>
    <s v="Acinetobacter baumannii"/>
    <n v="470"/>
    <s v="Acinetobacter baumannii"/>
    <n v="470"/>
    <s v="Acinetobacter"/>
    <n v="469"/>
    <s v="Acinetobacter"/>
    <s v="NZ_SOYV01000001.1"/>
    <s v="999/1000"/>
    <n v="0"/>
    <s v="2.38274e-05"/>
    <s v="sputum"/>
    <s v="Human"/>
    <s v="Pneumonia"/>
    <s v="Whole-Genome Sequencing for Detecting Antimicrobial Resistance in Acinetobacter baumannii isolated from Sudan"/>
    <s v="National University Biomedical Research Institute"/>
    <s v="Khartoum"/>
    <s v="Sudan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1EF45-C86A-4F91-A96B-DAA6C8A78DC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ies">
  <location ref="A3:V19" firstHeaderRow="0" firstDataRow="1" firstDataCol="1"/>
  <pivotFields count="17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9"/>
        <item x="12"/>
        <item x="4"/>
        <item x="5"/>
        <item x="8"/>
        <item x="10"/>
        <item x="7"/>
        <item x="3"/>
        <item x="1"/>
        <item x="0"/>
        <item x="6"/>
        <item x="2"/>
        <item x="14"/>
        <item x="11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dragToRow="0" dragToCol="0" dragToPage="0" showAll="0" defaultSubtotal="0"/>
  </pivotFields>
  <rowFields count="1">
    <field x="2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Isolates Count" fld="0" subtotal="count" baseField="0" baseItem="0"/>
    <dataField name="Sum of ant(3'')-IIa" fld="39" baseField="0" baseItem="0"/>
    <dataField name="Sum of aph(6)-Id" fld="46" baseField="0" baseItem="0"/>
    <dataField name="Sum of aph(3'')-Ib" fld="40" baseField="0" baseItem="0"/>
    <dataField name="Sum of blaOXA-23" fld="109" baseField="0" baseItem="0"/>
    <dataField name="Sum of sul2" fld="162" baseField="0" baseItem="0"/>
    <dataField name="Sum of msr(E)" fld="157" baseField="0" baseItem="0"/>
    <dataField name="Sum of mph(E)" fld="156" baseField="0" baseItem="0"/>
    <dataField name="Sum of tet(B)" fld="165" baseField="0" baseItem="0"/>
    <dataField name="Sum of sul1" fld="161" baseField="0" baseItem="0"/>
    <dataField name="Sum of qacEdelta1" fld="159" baseField="0" baseItem="0"/>
    <dataField name="Sum of blaNDM-1" fld="98" baseField="0" baseItem="0"/>
    <dataField name="Sum of ble" fld="140" baseField="0" baseItem="0"/>
    <dataField name="Sum of armA" fld="47" baseField="0" baseItem="0"/>
    <dataField name="Sum of aph(3')-Ia" fld="41" baseField="0" baseItem="0"/>
    <dataField name="Sum of aadA1" fld="36" baseField="0" baseItem="0"/>
    <dataField name="Sum of blaOXA-66" fld="121" baseField="0" baseItem="0"/>
    <dataField name="Sum of ant(2'')-Ia" fld="38" baseField="0" baseItem="0"/>
    <dataField name="Sum of aac(3)-Ia" fld="30" baseField="0" baseItem="0"/>
    <dataField name="Sum of blaOXA-69" fld="124" baseField="0" baseItem="0"/>
    <dataField name="Sum of blaADC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BE12A-5989-402F-80C3-A1768D92E80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C48" firstHeaderRow="1" firstDataRow="1" firstDataCol="0"/>
  <pivotFields count="170">
    <pivotField showAll="0"/>
    <pivotField showAll="0"/>
    <pivotField showAll="0"/>
    <pivotField showAll="0">
      <items count="34">
        <item x="30"/>
        <item x="31"/>
        <item x="32"/>
        <item x="4"/>
        <item x="2"/>
        <item x="29"/>
        <item x="28"/>
        <item x="0"/>
        <item x="1"/>
        <item x="6"/>
        <item x="7"/>
        <item x="27"/>
        <item x="19"/>
        <item x="11"/>
        <item x="9"/>
        <item x="10"/>
        <item x="26"/>
        <item x="21"/>
        <item x="20"/>
        <item x="22"/>
        <item x="13"/>
        <item x="15"/>
        <item x="14"/>
        <item x="23"/>
        <item x="24"/>
        <item x="16"/>
        <item x="17"/>
        <item x="18"/>
        <item x="25"/>
        <item x="12"/>
        <item x="8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44740-CB63-4A24-8302-34667D310A3B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6" firstHeaderRow="0" firstDataRow="1" firstDataCol="1"/>
  <pivotFields count="166">
    <pivotField dataField="1" showAll="0"/>
    <pivotField showAll="0"/>
    <pivotField showAll="0"/>
    <pivotField axis="axisRow" showAll="0">
      <items count="14">
        <item x="10"/>
        <item x="11"/>
        <item x="6"/>
        <item x="7"/>
        <item x="12"/>
        <item x="4"/>
        <item x="2"/>
        <item x="8"/>
        <item x="5"/>
        <item x="9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dataFields count="17">
    <dataField name="Count of Run Accessions" fld="0" subtotal="count" baseField="0" baseItem="0"/>
    <dataField name="Sum of ant(3'')-IIa" fld="36" baseField="0" baseItem="0"/>
    <dataField name="Sum of aph(6)-Id" fld="43" baseField="0" baseItem="0"/>
    <dataField name="Sum of aph(3'')-Ib" fld="37" baseField="0" baseItem="0"/>
    <dataField name="Sum of blaOXA-23" fld="106" baseField="0" baseItem="0"/>
    <dataField name="Sum of sul2" fld="159" baseField="0" baseItem="0"/>
    <dataField name="Sum of msr(E)" fld="154" baseField="0" baseItem="0"/>
    <dataField name="Sum of mph(E)" fld="153" baseField="0" baseItem="0"/>
    <dataField name="Sum of tet(B)" fld="162" baseField="0" baseItem="0"/>
    <dataField name="Sum of sul1" fld="158" baseField="0" baseItem="0"/>
    <dataField name="Sum of qacEdelta1" fld="156" baseField="0" baseItem="0"/>
    <dataField name="Sum of blaNDM-1" fld="95" baseField="0" baseItem="0"/>
    <dataField name="Sum of ble" fld="137" baseField="0" baseItem="0"/>
    <dataField name="Sum of armA" fld="44" baseField="0" baseItem="0"/>
    <dataField name="Sum of aph(3')-Ia" fld="38" baseField="0" baseItem="0"/>
    <dataField name="Sum of aadA1" fld="33" baseField="0" baseItem="0"/>
    <dataField name="Sum of blaOXA-66" fld="1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B8240-B9AB-4EF7-B476-7EC06C8C3E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steur ST">
  <location ref="A3:V63" firstHeaderRow="0" firstDataRow="1" firstDataCol="1"/>
  <pivotFields count="17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60">
        <item x="1"/>
        <item x="0"/>
        <item x="21"/>
        <item x="36"/>
        <item x="53"/>
        <item x="29"/>
        <item x="13"/>
        <item x="31"/>
        <item x="54"/>
        <item x="17"/>
        <item x="27"/>
        <item x="3"/>
        <item x="40"/>
        <item x="47"/>
        <item x="51"/>
        <item x="6"/>
        <item x="48"/>
        <item x="33"/>
        <item x="20"/>
        <item x="55"/>
        <item x="34"/>
        <item x="7"/>
        <item x="56"/>
        <item x="25"/>
        <item x="14"/>
        <item x="50"/>
        <item x="28"/>
        <item x="38"/>
        <item x="49"/>
        <item x="4"/>
        <item x="41"/>
        <item x="18"/>
        <item x="52"/>
        <item x="30"/>
        <item x="32"/>
        <item x="16"/>
        <item x="10"/>
        <item x="12"/>
        <item x="57"/>
        <item x="26"/>
        <item x="46"/>
        <item x="58"/>
        <item x="19"/>
        <item x="11"/>
        <item x="43"/>
        <item x="8"/>
        <item x="35"/>
        <item x="39"/>
        <item x="42"/>
        <item x="45"/>
        <item x="44"/>
        <item x="37"/>
        <item x="23"/>
        <item x="22"/>
        <item x="24"/>
        <item x="5"/>
        <item x="9"/>
        <item x="15"/>
        <item x="2"/>
        <item t="default"/>
      </items>
    </pivotField>
    <pivotField dragToRow="0" dragToCol="0" dragToPage="0" showAll="0" defaultSubtotal="0"/>
  </pivotFields>
  <rowFields count="1">
    <field x="168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Isolates Count" fld="0" subtotal="count" baseField="0" baseItem="0"/>
    <dataField name="Sum of ant(3'')-IIa" fld="39" baseField="0" baseItem="0"/>
    <dataField name="Sum of aph(6)-Id" fld="46" baseField="0" baseItem="0"/>
    <dataField name="Sum of aph(3'')-Ib" fld="40" baseField="0" baseItem="0"/>
    <dataField name="Sum of blaOXA-23" fld="109" baseField="0" baseItem="0"/>
    <dataField name="Sum of sul2" fld="162" baseField="0" baseItem="0"/>
    <dataField name="Sum of msr(E)" fld="157" baseField="0" baseItem="0"/>
    <dataField name="Sum of mph(E)" fld="156" baseField="0" baseItem="0"/>
    <dataField name="Sum of tet(B)" fld="165" baseField="0" baseItem="0"/>
    <dataField name="Sum of sul1" fld="161" baseField="0" baseItem="0"/>
    <dataField name="Sum of qacEdelta1" fld="159" baseField="0" baseItem="0"/>
    <dataField name="Sum of blaNDM-1" fld="98" baseField="0" baseItem="0"/>
    <dataField name="Sum of ble" fld="140" baseField="0" baseItem="0"/>
    <dataField name="Sum of armA" fld="47" baseField="0" baseItem="0"/>
    <dataField name="Sum of aph(3')-Ia" fld="41" baseField="0" baseItem="0"/>
    <dataField name="Sum of aadA1" fld="36" baseField="0" baseItem="0"/>
    <dataField name="Sum of blaOXA-66" fld="121" baseField="0" baseItem="0"/>
    <dataField name="Sum of ant(2'')-Ia" fld="38" baseField="0" baseItem="0"/>
    <dataField name="Sum of aac(3)-Ia" fld="30" baseField="0" baseItem="0"/>
    <dataField name="Sum of blaOXA-69" fld="124" baseField="0" baseItem="0"/>
    <dataField name="Sum of blaADC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1E8-3772-4779-ADD3-5211351101D1}">
  <dimension ref="A1:FJ376"/>
  <sheetViews>
    <sheetView topLeftCell="AG1" zoomScale="85" zoomScaleNormal="320" workbookViewId="0">
      <selection activeCell="Z1" sqref="Z1"/>
    </sheetView>
  </sheetViews>
  <sheetFormatPr defaultRowHeight="14.4" x14ac:dyDescent="0.3"/>
  <cols>
    <col min="1" max="1" width="13.5546875" bestFit="1" customWidth="1"/>
    <col min="2" max="2" width="18.33203125" customWidth="1"/>
    <col min="3" max="3" width="10.33203125" customWidth="1"/>
    <col min="4" max="4" width="12.44140625" bestFit="1" customWidth="1"/>
    <col min="5" max="5" width="14.109375" customWidth="1"/>
    <col min="8" max="8" width="23.6640625" bestFit="1" customWidth="1"/>
    <col min="9" max="9" width="12" bestFit="1" customWidth="1"/>
    <col min="10" max="10" width="23.6640625" bestFit="1" customWidth="1"/>
    <col min="11" max="11" width="10" bestFit="1" customWidth="1"/>
    <col min="12" max="12" width="13.33203125" bestFit="1" customWidth="1"/>
    <col min="13" max="13" width="8.88671875" bestFit="1" customWidth="1"/>
    <col min="14" max="14" width="16.109375" bestFit="1" customWidth="1"/>
    <col min="15" max="15" width="23" bestFit="1" customWidth="1"/>
    <col min="19" max="19" width="18.33203125" bestFit="1" customWidth="1"/>
    <col min="22" max="22" width="27" customWidth="1"/>
    <col min="23" max="23" width="19.88671875" customWidth="1"/>
  </cols>
  <sheetData>
    <row r="1" spans="1:166" x14ac:dyDescent="0.3">
      <c r="A1" t="s">
        <v>0</v>
      </c>
      <c r="B1" t="s">
        <v>1</v>
      </c>
      <c r="C1" t="s">
        <v>1399</v>
      </c>
      <c r="D1" t="s">
        <v>1398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1392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121</v>
      </c>
      <c r="DV1" t="s">
        <v>122</v>
      </c>
      <c r="DW1" t="s">
        <v>123</v>
      </c>
      <c r="DX1" t="s">
        <v>124</v>
      </c>
      <c r="DY1" t="s">
        <v>125</v>
      </c>
      <c r="DZ1" t="s">
        <v>126</v>
      </c>
      <c r="EA1" t="s">
        <v>127</v>
      </c>
      <c r="EB1" t="s">
        <v>128</v>
      </c>
      <c r="EC1" t="s">
        <v>129</v>
      </c>
      <c r="ED1" t="s">
        <v>130</v>
      </c>
      <c r="EE1" t="s">
        <v>131</v>
      </c>
      <c r="EF1" t="s">
        <v>132</v>
      </c>
      <c r="EG1" t="s">
        <v>133</v>
      </c>
      <c r="EH1" t="s">
        <v>134</v>
      </c>
      <c r="EI1" t="s">
        <v>135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</row>
    <row r="2" spans="1:166" ht="43.2" x14ac:dyDescent="0.3">
      <c r="A2" t="s">
        <v>163</v>
      </c>
      <c r="B2" t="s">
        <v>164</v>
      </c>
      <c r="C2" t="s">
        <v>198</v>
      </c>
      <c r="D2">
        <v>2021</v>
      </c>
      <c r="E2" t="s">
        <v>165</v>
      </c>
      <c r="F2">
        <v>11.8145966</v>
      </c>
      <c r="G2">
        <v>42.845306100000002</v>
      </c>
      <c r="H2" t="s">
        <v>166</v>
      </c>
      <c r="I2">
        <v>470</v>
      </c>
      <c r="J2" t="s">
        <v>166</v>
      </c>
      <c r="K2">
        <v>470</v>
      </c>
      <c r="L2" t="s">
        <v>167</v>
      </c>
      <c r="M2">
        <v>469</v>
      </c>
      <c r="N2" t="s">
        <v>167</v>
      </c>
      <c r="O2" t="s">
        <v>168</v>
      </c>
      <c r="P2" t="s">
        <v>169</v>
      </c>
      <c r="Q2">
        <v>0</v>
      </c>
      <c r="R2">
        <v>9.0612400000000001E-4</v>
      </c>
      <c r="S2" s="2" t="s">
        <v>1292</v>
      </c>
      <c r="T2" t="s">
        <v>444</v>
      </c>
      <c r="U2" t="s">
        <v>1364</v>
      </c>
      <c r="V2" t="s">
        <v>1291</v>
      </c>
      <c r="W2" t="s">
        <v>170</v>
      </c>
      <c r="X2" t="s">
        <v>171</v>
      </c>
      <c r="Y2" t="s">
        <v>172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2</v>
      </c>
    </row>
    <row r="3" spans="1:166" ht="43.2" x14ac:dyDescent="0.3">
      <c r="A3" t="s">
        <v>173</v>
      </c>
      <c r="B3" t="s">
        <v>174</v>
      </c>
      <c r="C3" t="s">
        <v>198</v>
      </c>
      <c r="D3">
        <v>2021</v>
      </c>
      <c r="E3" t="s">
        <v>165</v>
      </c>
      <c r="F3">
        <v>11.8145966</v>
      </c>
      <c r="G3">
        <v>42.845306100000002</v>
      </c>
      <c r="H3" t="s">
        <v>166</v>
      </c>
      <c r="I3">
        <v>470</v>
      </c>
      <c r="J3" t="s">
        <v>166</v>
      </c>
      <c r="K3">
        <v>470</v>
      </c>
      <c r="L3" t="s">
        <v>167</v>
      </c>
      <c r="M3">
        <v>469</v>
      </c>
      <c r="N3" t="s">
        <v>167</v>
      </c>
      <c r="O3" t="s">
        <v>168</v>
      </c>
      <c r="P3" t="s">
        <v>175</v>
      </c>
      <c r="Q3">
        <v>0</v>
      </c>
      <c r="R3">
        <v>1.0834200000000001E-3</v>
      </c>
      <c r="S3" s="2" t="s">
        <v>1292</v>
      </c>
      <c r="T3" t="s">
        <v>444</v>
      </c>
      <c r="U3" t="s">
        <v>1364</v>
      </c>
      <c r="V3" t="s">
        <v>1291</v>
      </c>
      <c r="W3" t="s">
        <v>170</v>
      </c>
      <c r="X3" t="s">
        <v>171</v>
      </c>
      <c r="Y3" t="s">
        <v>172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</row>
    <row r="4" spans="1:166" ht="43.2" x14ac:dyDescent="0.3">
      <c r="A4" t="s">
        <v>176</v>
      </c>
      <c r="B4" t="s">
        <v>177</v>
      </c>
      <c r="C4" t="s">
        <v>198</v>
      </c>
      <c r="D4">
        <v>2021</v>
      </c>
      <c r="E4" t="s">
        <v>165</v>
      </c>
      <c r="F4">
        <v>11.8145966</v>
      </c>
      <c r="G4">
        <v>42.845306100000002</v>
      </c>
      <c r="H4" t="s">
        <v>166</v>
      </c>
      <c r="I4">
        <v>470</v>
      </c>
      <c r="J4" t="s">
        <v>166</v>
      </c>
      <c r="K4">
        <v>470</v>
      </c>
      <c r="L4" t="s">
        <v>167</v>
      </c>
      <c r="M4">
        <v>469</v>
      </c>
      <c r="N4" t="s">
        <v>167</v>
      </c>
      <c r="O4" t="s">
        <v>168</v>
      </c>
      <c r="P4" t="s">
        <v>178</v>
      </c>
      <c r="Q4">
        <v>0</v>
      </c>
      <c r="R4">
        <v>7.0584100000000002E-4</v>
      </c>
      <c r="S4" s="2" t="s">
        <v>1293</v>
      </c>
      <c r="T4" t="s">
        <v>444</v>
      </c>
      <c r="U4" t="s">
        <v>1364</v>
      </c>
      <c r="V4" t="s">
        <v>1291</v>
      </c>
      <c r="W4" t="s">
        <v>170</v>
      </c>
      <c r="X4" t="s">
        <v>171</v>
      </c>
      <c r="Y4" t="s">
        <v>172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1</v>
      </c>
      <c r="FB4">
        <v>0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2</v>
      </c>
    </row>
    <row r="5" spans="1:166" x14ac:dyDescent="0.3">
      <c r="A5" t="s">
        <v>179</v>
      </c>
      <c r="B5" t="s">
        <v>180</v>
      </c>
      <c r="C5" t="s">
        <v>198</v>
      </c>
      <c r="D5">
        <v>2021</v>
      </c>
      <c r="E5" t="s">
        <v>165</v>
      </c>
      <c r="F5">
        <v>11.8145966</v>
      </c>
      <c r="G5">
        <v>42.845306100000002</v>
      </c>
      <c r="H5" t="s">
        <v>166</v>
      </c>
      <c r="I5">
        <v>470</v>
      </c>
      <c r="J5" t="s">
        <v>166</v>
      </c>
      <c r="K5">
        <v>470</v>
      </c>
      <c r="L5" t="s">
        <v>167</v>
      </c>
      <c r="M5">
        <v>469</v>
      </c>
      <c r="N5" t="s">
        <v>167</v>
      </c>
      <c r="O5" t="s">
        <v>168</v>
      </c>
      <c r="P5" t="s">
        <v>178</v>
      </c>
      <c r="Q5">
        <v>0</v>
      </c>
      <c r="R5">
        <v>7.0584100000000002E-4</v>
      </c>
      <c r="S5" t="s">
        <v>1294</v>
      </c>
      <c r="T5" t="s">
        <v>444</v>
      </c>
      <c r="U5" t="s">
        <v>1364</v>
      </c>
      <c r="V5" t="s">
        <v>1291</v>
      </c>
      <c r="W5" t="s">
        <v>170</v>
      </c>
      <c r="X5" t="s">
        <v>171</v>
      </c>
      <c r="Y5" t="s">
        <v>172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1</v>
      </c>
      <c r="FB5">
        <v>0</v>
      </c>
      <c r="FC5">
        <v>1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2</v>
      </c>
    </row>
    <row r="6" spans="1:166" x14ac:dyDescent="0.3">
      <c r="A6" t="s">
        <v>181</v>
      </c>
      <c r="B6" t="s">
        <v>182</v>
      </c>
      <c r="C6" t="s">
        <v>198</v>
      </c>
      <c r="D6">
        <v>2021</v>
      </c>
      <c r="E6" t="s">
        <v>165</v>
      </c>
      <c r="F6">
        <v>11.8145966</v>
      </c>
      <c r="G6">
        <v>42.845306100000002</v>
      </c>
      <c r="H6" t="s">
        <v>166</v>
      </c>
      <c r="I6">
        <v>470</v>
      </c>
      <c r="J6" t="s">
        <v>166</v>
      </c>
      <c r="K6">
        <v>470</v>
      </c>
      <c r="L6" t="s">
        <v>167</v>
      </c>
      <c r="M6">
        <v>469</v>
      </c>
      <c r="N6" t="s">
        <v>167</v>
      </c>
      <c r="O6" t="s">
        <v>183</v>
      </c>
      <c r="P6" t="s">
        <v>184</v>
      </c>
      <c r="Q6">
        <v>0</v>
      </c>
      <c r="R6">
        <v>8.3072799999999998E-4</v>
      </c>
      <c r="S6" t="s">
        <v>1295</v>
      </c>
      <c r="T6" t="s">
        <v>444</v>
      </c>
      <c r="U6" t="s">
        <v>1364</v>
      </c>
      <c r="V6" t="s">
        <v>1291</v>
      </c>
      <c r="W6" t="s">
        <v>170</v>
      </c>
      <c r="X6" t="s">
        <v>171</v>
      </c>
      <c r="Y6" t="s">
        <v>172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1</v>
      </c>
    </row>
    <row r="7" spans="1:166" x14ac:dyDescent="0.3">
      <c r="A7" t="s">
        <v>185</v>
      </c>
      <c r="B7" t="s">
        <v>186</v>
      </c>
      <c r="C7" t="s">
        <v>198</v>
      </c>
      <c r="D7">
        <v>2021</v>
      </c>
      <c r="E7" t="s">
        <v>165</v>
      </c>
      <c r="F7">
        <v>11.8145966</v>
      </c>
      <c r="G7">
        <v>42.845306100000002</v>
      </c>
      <c r="H7" t="s">
        <v>166</v>
      </c>
      <c r="I7">
        <v>470</v>
      </c>
      <c r="J7" t="s">
        <v>166</v>
      </c>
      <c r="K7">
        <v>470</v>
      </c>
      <c r="L7" t="s">
        <v>167</v>
      </c>
      <c r="M7">
        <v>469</v>
      </c>
      <c r="N7" t="s">
        <v>167</v>
      </c>
      <c r="O7" t="s">
        <v>168</v>
      </c>
      <c r="P7" t="s">
        <v>178</v>
      </c>
      <c r="Q7">
        <v>0</v>
      </c>
      <c r="R7">
        <v>7.0584100000000002E-4</v>
      </c>
      <c r="S7" t="s">
        <v>1296</v>
      </c>
      <c r="T7" t="s">
        <v>444</v>
      </c>
      <c r="U7" t="s">
        <v>1364</v>
      </c>
      <c r="V7" t="s">
        <v>1291</v>
      </c>
      <c r="W7" t="s">
        <v>170</v>
      </c>
      <c r="X7" t="s">
        <v>171</v>
      </c>
      <c r="Y7" t="s">
        <v>172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1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2</v>
      </c>
    </row>
    <row r="8" spans="1:166" x14ac:dyDescent="0.3">
      <c r="A8" t="s">
        <v>187</v>
      </c>
      <c r="B8" t="s">
        <v>188</v>
      </c>
      <c r="C8" t="s">
        <v>198</v>
      </c>
      <c r="D8">
        <v>2021</v>
      </c>
      <c r="E8" t="s">
        <v>165</v>
      </c>
      <c r="F8">
        <v>11.8145966</v>
      </c>
      <c r="G8">
        <v>42.845306100000002</v>
      </c>
      <c r="H8" t="s">
        <v>166</v>
      </c>
      <c r="I8">
        <v>470</v>
      </c>
      <c r="J8" t="s">
        <v>166</v>
      </c>
      <c r="K8">
        <v>470</v>
      </c>
      <c r="L8" t="s">
        <v>167</v>
      </c>
      <c r="M8">
        <v>469</v>
      </c>
      <c r="N8" t="s">
        <v>167</v>
      </c>
      <c r="O8" t="s">
        <v>168</v>
      </c>
      <c r="P8" t="s">
        <v>178</v>
      </c>
      <c r="Q8">
        <v>0</v>
      </c>
      <c r="R8">
        <v>7.0584100000000002E-4</v>
      </c>
      <c r="S8" t="s">
        <v>1297</v>
      </c>
      <c r="T8" t="s">
        <v>444</v>
      </c>
      <c r="U8" t="s">
        <v>1364</v>
      </c>
      <c r="V8" t="s">
        <v>1291</v>
      </c>
      <c r="W8" t="s">
        <v>170</v>
      </c>
      <c r="X8" t="s">
        <v>171</v>
      </c>
      <c r="Y8" t="s">
        <v>172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1</v>
      </c>
      <c r="EZ8">
        <v>0</v>
      </c>
      <c r="FA8">
        <v>1</v>
      </c>
      <c r="FB8">
        <v>0</v>
      </c>
      <c r="FC8">
        <v>1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2</v>
      </c>
    </row>
    <row r="9" spans="1:166" x14ac:dyDescent="0.3">
      <c r="A9" t="s">
        <v>189</v>
      </c>
      <c r="B9" t="s">
        <v>190</v>
      </c>
      <c r="C9" t="s">
        <v>198</v>
      </c>
      <c r="D9">
        <v>2021</v>
      </c>
      <c r="E9" t="s">
        <v>191</v>
      </c>
      <c r="F9">
        <v>7.3487200000000001</v>
      </c>
      <c r="G9">
        <v>3.8792900000000001</v>
      </c>
      <c r="H9" t="s">
        <v>166</v>
      </c>
      <c r="I9">
        <v>470</v>
      </c>
      <c r="J9" t="s">
        <v>166</v>
      </c>
      <c r="K9">
        <v>470</v>
      </c>
      <c r="L9" t="s">
        <v>167</v>
      </c>
      <c r="M9">
        <v>469</v>
      </c>
      <c r="N9" t="s">
        <v>167</v>
      </c>
      <c r="O9" t="s">
        <v>192</v>
      </c>
      <c r="P9" t="s">
        <v>193</v>
      </c>
      <c r="Q9">
        <v>0</v>
      </c>
      <c r="R9">
        <v>1.54006E-2</v>
      </c>
      <c r="V9" t="s">
        <v>194</v>
      </c>
      <c r="W9" t="s">
        <v>195</v>
      </c>
      <c r="X9" t="s">
        <v>196</v>
      </c>
      <c r="Y9" t="s">
        <v>197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 t="s">
        <v>198</v>
      </c>
    </row>
    <row r="10" spans="1:166" x14ac:dyDescent="0.3">
      <c r="A10" t="s">
        <v>199</v>
      </c>
      <c r="B10" t="s">
        <v>200</v>
      </c>
      <c r="C10" t="s">
        <v>198</v>
      </c>
      <c r="D10">
        <v>2022</v>
      </c>
      <c r="E10" t="s">
        <v>191</v>
      </c>
      <c r="F10">
        <v>7.3487200000000001</v>
      </c>
      <c r="G10">
        <v>3.8792900000000001</v>
      </c>
      <c r="H10" t="s">
        <v>166</v>
      </c>
      <c r="I10">
        <v>470</v>
      </c>
      <c r="J10" t="s">
        <v>166</v>
      </c>
      <c r="K10">
        <v>470</v>
      </c>
      <c r="L10" t="s">
        <v>167</v>
      </c>
      <c r="M10">
        <v>469</v>
      </c>
      <c r="N10" t="s">
        <v>167</v>
      </c>
      <c r="O10" t="s">
        <v>201</v>
      </c>
      <c r="P10" t="s">
        <v>202</v>
      </c>
      <c r="Q10">
        <v>0</v>
      </c>
      <c r="R10">
        <v>2.8271199999999998E-3</v>
      </c>
      <c r="S10" t="s">
        <v>1394</v>
      </c>
      <c r="T10" t="s">
        <v>444</v>
      </c>
      <c r="V10" t="s">
        <v>194</v>
      </c>
      <c r="W10" t="s">
        <v>195</v>
      </c>
      <c r="X10" t="s">
        <v>196</v>
      </c>
      <c r="Y10" t="s">
        <v>197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 t="s">
        <v>198</v>
      </c>
    </row>
    <row r="11" spans="1:166" x14ac:dyDescent="0.3">
      <c r="A11" t="s">
        <v>203</v>
      </c>
      <c r="B11" t="s">
        <v>204</v>
      </c>
      <c r="C11" t="s">
        <v>198</v>
      </c>
      <c r="D11">
        <v>2022</v>
      </c>
      <c r="E11" t="s">
        <v>191</v>
      </c>
      <c r="F11">
        <v>7.3487200000000001</v>
      </c>
      <c r="G11">
        <v>3.8792900000000001</v>
      </c>
      <c r="H11" t="s">
        <v>166</v>
      </c>
      <c r="I11">
        <v>470</v>
      </c>
      <c r="J11" t="s">
        <v>166</v>
      </c>
      <c r="K11">
        <v>470</v>
      </c>
      <c r="L11" t="s">
        <v>167</v>
      </c>
      <c r="M11">
        <v>469</v>
      </c>
      <c r="N11" t="s">
        <v>167</v>
      </c>
      <c r="O11" t="s">
        <v>205</v>
      </c>
      <c r="P11" t="s">
        <v>206</v>
      </c>
      <c r="Q11">
        <v>0</v>
      </c>
      <c r="R11">
        <v>2.43596E-3</v>
      </c>
      <c r="S11" t="s">
        <v>1394</v>
      </c>
      <c r="T11" t="s">
        <v>444</v>
      </c>
      <c r="V11" t="s">
        <v>194</v>
      </c>
      <c r="W11" t="s">
        <v>195</v>
      </c>
      <c r="X11" t="s">
        <v>196</v>
      </c>
      <c r="Y11" t="s">
        <v>197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103</v>
      </c>
    </row>
    <row r="12" spans="1:166" x14ac:dyDescent="0.3">
      <c r="A12" t="s">
        <v>207</v>
      </c>
      <c r="B12" t="s">
        <v>208</v>
      </c>
      <c r="C12" t="s">
        <v>198</v>
      </c>
      <c r="D12">
        <v>2022</v>
      </c>
      <c r="E12" t="s">
        <v>191</v>
      </c>
      <c r="F12">
        <v>7.3487200000000001</v>
      </c>
      <c r="G12">
        <v>3.8792900000000001</v>
      </c>
      <c r="H12" t="s">
        <v>166</v>
      </c>
      <c r="I12">
        <v>470</v>
      </c>
      <c r="J12" t="s">
        <v>166</v>
      </c>
      <c r="K12">
        <v>470</v>
      </c>
      <c r="L12" t="s">
        <v>167</v>
      </c>
      <c r="M12">
        <v>469</v>
      </c>
      <c r="N12" t="s">
        <v>167</v>
      </c>
      <c r="O12" t="s">
        <v>209</v>
      </c>
      <c r="P12" t="s">
        <v>210</v>
      </c>
      <c r="Q12">
        <v>0</v>
      </c>
      <c r="R12">
        <v>1.2626499999999999E-3</v>
      </c>
      <c r="S12" t="s">
        <v>1394</v>
      </c>
      <c r="T12" t="s">
        <v>444</v>
      </c>
      <c r="V12" t="s">
        <v>194</v>
      </c>
      <c r="W12" t="s">
        <v>195</v>
      </c>
      <c r="X12" t="s">
        <v>196</v>
      </c>
      <c r="Y12" t="s">
        <v>197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409</v>
      </c>
    </row>
    <row r="13" spans="1:166" x14ac:dyDescent="0.3">
      <c r="A13" t="s">
        <v>211</v>
      </c>
      <c r="B13" t="s">
        <v>212</v>
      </c>
      <c r="C13" t="s">
        <v>198</v>
      </c>
      <c r="D13">
        <v>2021</v>
      </c>
      <c r="E13" t="s">
        <v>191</v>
      </c>
      <c r="F13">
        <v>7.3487200000000001</v>
      </c>
      <c r="G13">
        <v>3.8792900000000001</v>
      </c>
      <c r="H13" t="s">
        <v>166</v>
      </c>
      <c r="I13">
        <v>470</v>
      </c>
      <c r="J13" t="s">
        <v>166</v>
      </c>
      <c r="K13">
        <v>470</v>
      </c>
      <c r="L13" t="s">
        <v>167</v>
      </c>
      <c r="M13">
        <v>469</v>
      </c>
      <c r="N13" t="s">
        <v>167</v>
      </c>
      <c r="O13" t="s">
        <v>213</v>
      </c>
      <c r="P13" t="s">
        <v>214</v>
      </c>
      <c r="Q13">
        <v>0</v>
      </c>
      <c r="R13">
        <v>9.2055499999999998E-3</v>
      </c>
      <c r="S13" s="2" t="s">
        <v>1298</v>
      </c>
      <c r="T13" t="s">
        <v>444</v>
      </c>
      <c r="V13" t="s">
        <v>194</v>
      </c>
      <c r="W13" t="s">
        <v>195</v>
      </c>
      <c r="X13" t="s">
        <v>196</v>
      </c>
      <c r="Y13" t="s">
        <v>197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2214</v>
      </c>
    </row>
    <row r="14" spans="1:166" x14ac:dyDescent="0.3">
      <c r="A14" t="s">
        <v>215</v>
      </c>
      <c r="B14" t="s">
        <v>216</v>
      </c>
      <c r="D14">
        <v>2021</v>
      </c>
      <c r="E14" t="s">
        <v>191</v>
      </c>
      <c r="F14">
        <v>7.3487200000000001</v>
      </c>
      <c r="G14">
        <v>3.8792900000000001</v>
      </c>
      <c r="H14" t="s">
        <v>166</v>
      </c>
      <c r="I14">
        <v>470</v>
      </c>
      <c r="J14" t="s">
        <v>166</v>
      </c>
      <c r="K14">
        <v>470</v>
      </c>
      <c r="L14" t="s">
        <v>167</v>
      </c>
      <c r="M14">
        <v>469</v>
      </c>
      <c r="N14" t="s">
        <v>167</v>
      </c>
      <c r="O14" t="s">
        <v>217</v>
      </c>
      <c r="P14" t="s">
        <v>218</v>
      </c>
      <c r="Q14">
        <v>0</v>
      </c>
      <c r="R14">
        <v>2.10772E-3</v>
      </c>
      <c r="S14" s="2" t="s">
        <v>1298</v>
      </c>
      <c r="T14" t="s">
        <v>444</v>
      </c>
      <c r="V14" t="s">
        <v>194</v>
      </c>
      <c r="W14" t="s">
        <v>195</v>
      </c>
      <c r="X14" t="s">
        <v>196</v>
      </c>
      <c r="Y14" t="s">
        <v>197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126</v>
      </c>
    </row>
    <row r="15" spans="1:166" x14ac:dyDescent="0.3">
      <c r="A15" t="s">
        <v>219</v>
      </c>
      <c r="B15" t="s">
        <v>220</v>
      </c>
      <c r="C15" t="s">
        <v>198</v>
      </c>
      <c r="D15">
        <v>2021</v>
      </c>
      <c r="E15" t="s">
        <v>191</v>
      </c>
      <c r="F15">
        <v>7.3487200000000001</v>
      </c>
      <c r="G15">
        <v>3.8792900000000001</v>
      </c>
      <c r="H15" t="s">
        <v>166</v>
      </c>
      <c r="I15">
        <v>470</v>
      </c>
      <c r="J15" t="s">
        <v>166</v>
      </c>
      <c r="K15">
        <v>470</v>
      </c>
      <c r="L15" t="s">
        <v>167</v>
      </c>
      <c r="M15">
        <v>469</v>
      </c>
      <c r="N15" t="s">
        <v>167</v>
      </c>
      <c r="O15" t="s">
        <v>221</v>
      </c>
      <c r="P15" t="s">
        <v>222</v>
      </c>
      <c r="Q15">
        <v>0</v>
      </c>
      <c r="R15">
        <v>2.6583800000000001E-3</v>
      </c>
      <c r="S15" s="2" t="s">
        <v>1298</v>
      </c>
      <c r="T15" t="s">
        <v>444</v>
      </c>
      <c r="V15" t="s">
        <v>194</v>
      </c>
      <c r="W15" t="s">
        <v>195</v>
      </c>
      <c r="X15" t="s">
        <v>196</v>
      </c>
      <c r="Y15" t="s">
        <v>197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164</v>
      </c>
    </row>
    <row r="16" spans="1:166" x14ac:dyDescent="0.3">
      <c r="A16" t="s">
        <v>223</v>
      </c>
      <c r="B16" t="s">
        <v>224</v>
      </c>
      <c r="C16" t="s">
        <v>198</v>
      </c>
      <c r="D16">
        <v>2021</v>
      </c>
      <c r="E16" t="s">
        <v>191</v>
      </c>
      <c r="F16">
        <v>7.3487200000000001</v>
      </c>
      <c r="G16">
        <v>3.8792900000000001</v>
      </c>
      <c r="H16" t="s">
        <v>166</v>
      </c>
      <c r="I16">
        <v>470</v>
      </c>
      <c r="J16" t="s">
        <v>166</v>
      </c>
      <c r="K16">
        <v>470</v>
      </c>
      <c r="L16" t="s">
        <v>167</v>
      </c>
      <c r="M16">
        <v>469</v>
      </c>
      <c r="N16" t="s">
        <v>167</v>
      </c>
      <c r="O16" t="s">
        <v>225</v>
      </c>
      <c r="P16" t="s">
        <v>226</v>
      </c>
      <c r="Q16">
        <v>0</v>
      </c>
      <c r="R16">
        <v>6.0776099999999998E-3</v>
      </c>
      <c r="S16" s="2" t="s">
        <v>1298</v>
      </c>
      <c r="T16" t="s">
        <v>444</v>
      </c>
      <c r="V16" t="s">
        <v>194</v>
      </c>
      <c r="W16" t="s">
        <v>195</v>
      </c>
      <c r="X16" t="s">
        <v>196</v>
      </c>
      <c r="Y16" t="s">
        <v>197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1828</v>
      </c>
    </row>
    <row r="17" spans="1:166" x14ac:dyDescent="0.3">
      <c r="A17" t="s">
        <v>227</v>
      </c>
      <c r="B17" t="s">
        <v>228</v>
      </c>
      <c r="C17" t="s">
        <v>198</v>
      </c>
      <c r="D17">
        <v>2021</v>
      </c>
      <c r="E17" t="s">
        <v>191</v>
      </c>
      <c r="F17">
        <v>7.3487200000000001</v>
      </c>
      <c r="G17">
        <v>3.8792900000000001</v>
      </c>
      <c r="H17" t="s">
        <v>166</v>
      </c>
      <c r="I17">
        <v>470</v>
      </c>
      <c r="J17" t="s">
        <v>166</v>
      </c>
      <c r="K17">
        <v>470</v>
      </c>
      <c r="L17" t="s">
        <v>167</v>
      </c>
      <c r="M17">
        <v>469</v>
      </c>
      <c r="N17" t="s">
        <v>167</v>
      </c>
      <c r="O17" t="s">
        <v>229</v>
      </c>
      <c r="P17" t="s">
        <v>230</v>
      </c>
      <c r="Q17">
        <v>0</v>
      </c>
      <c r="R17">
        <v>5.3460599999999997E-3</v>
      </c>
      <c r="S17" s="2" t="s">
        <v>1298</v>
      </c>
      <c r="T17" t="s">
        <v>444</v>
      </c>
      <c r="V17" t="s">
        <v>194</v>
      </c>
      <c r="W17" t="s">
        <v>195</v>
      </c>
      <c r="X17" t="s">
        <v>196</v>
      </c>
      <c r="Y17" t="s">
        <v>197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 t="s">
        <v>198</v>
      </c>
    </row>
    <row r="18" spans="1:166" x14ac:dyDescent="0.3">
      <c r="A18" t="s">
        <v>231</v>
      </c>
      <c r="B18" t="s">
        <v>232</v>
      </c>
      <c r="C18" t="s">
        <v>198</v>
      </c>
      <c r="D18">
        <v>2022</v>
      </c>
      <c r="E18" t="s">
        <v>191</v>
      </c>
      <c r="F18">
        <v>7.3487200000000001</v>
      </c>
      <c r="G18">
        <v>3.8792900000000001</v>
      </c>
      <c r="H18" t="s">
        <v>166</v>
      </c>
      <c r="I18">
        <v>470</v>
      </c>
      <c r="J18" t="s">
        <v>166</v>
      </c>
      <c r="K18">
        <v>470</v>
      </c>
      <c r="L18" t="s">
        <v>167</v>
      </c>
      <c r="M18">
        <v>469</v>
      </c>
      <c r="N18" t="s">
        <v>167</v>
      </c>
      <c r="O18" t="s">
        <v>233</v>
      </c>
      <c r="P18" t="s">
        <v>234</v>
      </c>
      <c r="Q18">
        <v>0</v>
      </c>
      <c r="R18">
        <v>1.5997999999999998E-2</v>
      </c>
      <c r="S18" s="2" t="s">
        <v>1394</v>
      </c>
      <c r="T18" t="s">
        <v>444</v>
      </c>
      <c r="V18" t="s">
        <v>194</v>
      </c>
      <c r="W18" t="s">
        <v>195</v>
      </c>
      <c r="X18" t="s">
        <v>196</v>
      </c>
      <c r="Y18" t="s">
        <v>197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2215</v>
      </c>
    </row>
    <row r="19" spans="1:166" x14ac:dyDescent="0.3">
      <c r="A19" t="s">
        <v>235</v>
      </c>
      <c r="B19" t="s">
        <v>236</v>
      </c>
      <c r="C19" t="s">
        <v>198</v>
      </c>
      <c r="D19">
        <v>2022</v>
      </c>
      <c r="E19" t="s">
        <v>191</v>
      </c>
      <c r="F19">
        <v>7.3487200000000001</v>
      </c>
      <c r="G19">
        <v>3.8792900000000001</v>
      </c>
      <c r="H19" t="s">
        <v>166</v>
      </c>
      <c r="I19">
        <v>470</v>
      </c>
      <c r="J19" t="s">
        <v>166</v>
      </c>
      <c r="K19">
        <v>470</v>
      </c>
      <c r="L19" t="s">
        <v>167</v>
      </c>
      <c r="M19">
        <v>469</v>
      </c>
      <c r="N19" t="s">
        <v>167</v>
      </c>
      <c r="O19" t="s">
        <v>237</v>
      </c>
      <c r="P19" t="s">
        <v>238</v>
      </c>
      <c r="Q19">
        <v>0</v>
      </c>
      <c r="R19">
        <v>2.8837400000000001E-3</v>
      </c>
      <c r="S19" s="2" t="s">
        <v>1394</v>
      </c>
      <c r="T19" t="s">
        <v>444</v>
      </c>
      <c r="V19" t="s">
        <v>194</v>
      </c>
      <c r="W19" t="s">
        <v>195</v>
      </c>
      <c r="X19" t="s">
        <v>196</v>
      </c>
      <c r="Y19" t="s">
        <v>197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821</v>
      </c>
    </row>
    <row r="20" spans="1:166" x14ac:dyDescent="0.3">
      <c r="A20" t="s">
        <v>239</v>
      </c>
      <c r="B20" t="s">
        <v>240</v>
      </c>
      <c r="C20" t="s">
        <v>198</v>
      </c>
      <c r="D20">
        <v>2022</v>
      </c>
      <c r="E20" t="s">
        <v>191</v>
      </c>
      <c r="F20">
        <v>7.3487200000000001</v>
      </c>
      <c r="G20">
        <v>3.8792900000000001</v>
      </c>
      <c r="H20" t="s">
        <v>166</v>
      </c>
      <c r="I20">
        <v>470</v>
      </c>
      <c r="J20" t="s">
        <v>166</v>
      </c>
      <c r="K20">
        <v>470</v>
      </c>
      <c r="L20" t="s">
        <v>167</v>
      </c>
      <c r="M20">
        <v>469</v>
      </c>
      <c r="N20" t="s">
        <v>167</v>
      </c>
      <c r="O20" t="s">
        <v>209</v>
      </c>
      <c r="P20" t="s">
        <v>241</v>
      </c>
      <c r="Q20">
        <v>0</v>
      </c>
      <c r="R20">
        <v>1.0579700000000001E-3</v>
      </c>
      <c r="S20" s="2" t="s">
        <v>1394</v>
      </c>
      <c r="T20" t="s">
        <v>444</v>
      </c>
      <c r="V20" t="s">
        <v>194</v>
      </c>
      <c r="W20" t="s">
        <v>195</v>
      </c>
      <c r="X20" t="s">
        <v>196</v>
      </c>
      <c r="Y20" t="s">
        <v>197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 t="s">
        <v>198</v>
      </c>
    </row>
    <row r="21" spans="1:166" x14ac:dyDescent="0.3">
      <c r="A21" t="s">
        <v>242</v>
      </c>
      <c r="B21" t="s">
        <v>243</v>
      </c>
      <c r="C21" t="s">
        <v>198</v>
      </c>
      <c r="D21">
        <v>2021</v>
      </c>
      <c r="E21" t="s">
        <v>191</v>
      </c>
      <c r="F21">
        <v>7.3487200000000001</v>
      </c>
      <c r="G21">
        <v>3.8792900000000001</v>
      </c>
      <c r="H21" t="s">
        <v>166</v>
      </c>
      <c r="I21">
        <v>470</v>
      </c>
      <c r="J21" t="s">
        <v>166</v>
      </c>
      <c r="K21">
        <v>470</v>
      </c>
      <c r="L21" t="s">
        <v>167</v>
      </c>
      <c r="M21">
        <v>469</v>
      </c>
      <c r="N21" t="s">
        <v>167</v>
      </c>
      <c r="O21" t="s">
        <v>225</v>
      </c>
      <c r="P21" t="s">
        <v>244</v>
      </c>
      <c r="Q21">
        <v>0</v>
      </c>
      <c r="R21">
        <v>7.7809200000000002E-3</v>
      </c>
      <c r="S21" s="2" t="s">
        <v>1298</v>
      </c>
      <c r="T21" t="s">
        <v>444</v>
      </c>
      <c r="V21" t="s">
        <v>194</v>
      </c>
      <c r="W21" t="s">
        <v>195</v>
      </c>
      <c r="X21" t="s">
        <v>196</v>
      </c>
      <c r="Y21" t="s">
        <v>197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1464</v>
      </c>
    </row>
    <row r="22" spans="1:166" x14ac:dyDescent="0.3">
      <c r="A22" t="s">
        <v>245</v>
      </c>
      <c r="B22" t="s">
        <v>246</v>
      </c>
      <c r="C22" t="s">
        <v>198</v>
      </c>
      <c r="D22">
        <v>2021</v>
      </c>
      <c r="E22" t="s">
        <v>191</v>
      </c>
      <c r="F22">
        <v>7.3487200000000001</v>
      </c>
      <c r="G22">
        <v>3.8792900000000001</v>
      </c>
      <c r="H22" t="s">
        <v>166</v>
      </c>
      <c r="I22">
        <v>470</v>
      </c>
      <c r="J22" t="s">
        <v>166</v>
      </c>
      <c r="K22">
        <v>470</v>
      </c>
      <c r="L22" t="s">
        <v>167</v>
      </c>
      <c r="M22">
        <v>469</v>
      </c>
      <c r="N22" t="s">
        <v>167</v>
      </c>
      <c r="O22" t="s">
        <v>247</v>
      </c>
      <c r="P22" t="s">
        <v>248</v>
      </c>
      <c r="Q22">
        <v>0</v>
      </c>
      <c r="R22">
        <v>2.16198E-3</v>
      </c>
      <c r="S22" s="2" t="s">
        <v>1298</v>
      </c>
      <c r="T22" t="s">
        <v>444</v>
      </c>
      <c r="V22" t="s">
        <v>194</v>
      </c>
      <c r="W22" t="s">
        <v>195</v>
      </c>
      <c r="X22" t="s">
        <v>196</v>
      </c>
      <c r="Y22" t="s">
        <v>197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973</v>
      </c>
    </row>
    <row r="23" spans="1:166" x14ac:dyDescent="0.3">
      <c r="A23" t="s">
        <v>249</v>
      </c>
      <c r="B23" t="s">
        <v>250</v>
      </c>
      <c r="C23" t="s">
        <v>198</v>
      </c>
      <c r="D23">
        <v>2022</v>
      </c>
      <c r="E23" t="s">
        <v>191</v>
      </c>
      <c r="F23">
        <v>7.3487200000000001</v>
      </c>
      <c r="G23">
        <v>3.8792900000000001</v>
      </c>
      <c r="H23" t="s">
        <v>166</v>
      </c>
      <c r="I23">
        <v>470</v>
      </c>
      <c r="J23" t="s">
        <v>166</v>
      </c>
      <c r="K23">
        <v>470</v>
      </c>
      <c r="L23" t="s">
        <v>167</v>
      </c>
      <c r="M23">
        <v>469</v>
      </c>
      <c r="N23" t="s">
        <v>167</v>
      </c>
      <c r="O23" t="s">
        <v>209</v>
      </c>
      <c r="P23" t="s">
        <v>251</v>
      </c>
      <c r="Q23">
        <v>0</v>
      </c>
      <c r="R23">
        <v>1.0072E-3</v>
      </c>
      <c r="S23" s="2" t="s">
        <v>1394</v>
      </c>
      <c r="T23" t="s">
        <v>444</v>
      </c>
      <c r="V23" t="s">
        <v>194</v>
      </c>
      <c r="W23" t="s">
        <v>195</v>
      </c>
      <c r="X23" t="s">
        <v>196</v>
      </c>
      <c r="Y23" t="s">
        <v>197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409</v>
      </c>
    </row>
    <row r="24" spans="1:166" x14ac:dyDescent="0.3">
      <c r="A24" t="s">
        <v>252</v>
      </c>
      <c r="B24" t="s">
        <v>253</v>
      </c>
      <c r="C24" t="s">
        <v>198</v>
      </c>
      <c r="D24">
        <v>2022</v>
      </c>
      <c r="E24" t="s">
        <v>191</v>
      </c>
      <c r="F24">
        <v>7.3487200000000001</v>
      </c>
      <c r="G24">
        <v>3.8792900000000001</v>
      </c>
      <c r="H24" t="s">
        <v>166</v>
      </c>
      <c r="I24">
        <v>470</v>
      </c>
      <c r="J24" t="s">
        <v>166</v>
      </c>
      <c r="K24">
        <v>470</v>
      </c>
      <c r="L24" t="s">
        <v>167</v>
      </c>
      <c r="M24">
        <v>469</v>
      </c>
      <c r="N24" t="s">
        <v>167</v>
      </c>
      <c r="O24" t="s">
        <v>254</v>
      </c>
      <c r="P24" t="s">
        <v>255</v>
      </c>
      <c r="Q24">
        <v>0</v>
      </c>
      <c r="R24">
        <v>1.4960100000000001E-3</v>
      </c>
      <c r="S24" s="2" t="s">
        <v>1394</v>
      </c>
      <c r="T24" t="s">
        <v>444</v>
      </c>
      <c r="V24" t="s">
        <v>194</v>
      </c>
      <c r="W24" t="s">
        <v>195</v>
      </c>
      <c r="X24" t="s">
        <v>196</v>
      </c>
      <c r="Y24" t="s">
        <v>197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32</v>
      </c>
    </row>
    <row r="25" spans="1:166" x14ac:dyDescent="0.3">
      <c r="A25" t="s">
        <v>256</v>
      </c>
      <c r="B25" t="s">
        <v>257</v>
      </c>
      <c r="C25" s="1" t="s">
        <v>198</v>
      </c>
      <c r="D25">
        <v>2022</v>
      </c>
      <c r="E25" t="s">
        <v>191</v>
      </c>
      <c r="F25">
        <v>7.3487200000000001</v>
      </c>
      <c r="G25">
        <v>3.8792900000000001</v>
      </c>
      <c r="H25" t="s">
        <v>166</v>
      </c>
      <c r="I25">
        <v>470</v>
      </c>
      <c r="J25" t="s">
        <v>166</v>
      </c>
      <c r="K25">
        <v>470</v>
      </c>
      <c r="L25" t="s">
        <v>167</v>
      </c>
      <c r="M25">
        <v>469</v>
      </c>
      <c r="N25" t="s">
        <v>167</v>
      </c>
      <c r="O25" t="s">
        <v>205</v>
      </c>
      <c r="P25" t="s">
        <v>258</v>
      </c>
      <c r="Q25">
        <v>0</v>
      </c>
      <c r="R25">
        <v>2.4912900000000002E-3</v>
      </c>
      <c r="S25" s="2" t="s">
        <v>1394</v>
      </c>
      <c r="T25" t="s">
        <v>444</v>
      </c>
      <c r="V25" t="s">
        <v>194</v>
      </c>
      <c r="W25" t="s">
        <v>195</v>
      </c>
      <c r="X25" t="s">
        <v>196</v>
      </c>
      <c r="Y25" t="s">
        <v>197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103</v>
      </c>
    </row>
    <row r="26" spans="1:166" x14ac:dyDescent="0.3">
      <c r="A26" t="s">
        <v>259</v>
      </c>
      <c r="B26" t="s">
        <v>260</v>
      </c>
      <c r="C26" t="s">
        <v>198</v>
      </c>
      <c r="D26">
        <v>2022</v>
      </c>
      <c r="E26" t="s">
        <v>191</v>
      </c>
      <c r="F26">
        <v>7.3487200000000001</v>
      </c>
      <c r="G26">
        <v>3.8792900000000001</v>
      </c>
      <c r="H26" t="s">
        <v>166</v>
      </c>
      <c r="I26">
        <v>470</v>
      </c>
      <c r="J26" t="s">
        <v>166</v>
      </c>
      <c r="K26">
        <v>470</v>
      </c>
      <c r="L26" t="s">
        <v>167</v>
      </c>
      <c r="M26">
        <v>469</v>
      </c>
      <c r="N26" t="s">
        <v>167</v>
      </c>
      <c r="O26" t="s">
        <v>209</v>
      </c>
      <c r="P26" t="s">
        <v>210</v>
      </c>
      <c r="Q26">
        <v>0</v>
      </c>
      <c r="R26">
        <v>1.2626499999999999E-3</v>
      </c>
      <c r="S26" s="2" t="s">
        <v>1394</v>
      </c>
      <c r="T26" t="s">
        <v>444</v>
      </c>
      <c r="V26" t="s">
        <v>194</v>
      </c>
      <c r="W26" t="s">
        <v>195</v>
      </c>
      <c r="X26" t="s">
        <v>196</v>
      </c>
      <c r="Y26" t="s">
        <v>197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409</v>
      </c>
    </row>
    <row r="27" spans="1:166" x14ac:dyDescent="0.3">
      <c r="A27" t="s">
        <v>261</v>
      </c>
      <c r="B27" t="s">
        <v>262</v>
      </c>
      <c r="C27" t="s">
        <v>198</v>
      </c>
      <c r="D27">
        <v>2022</v>
      </c>
      <c r="E27" t="s">
        <v>191</v>
      </c>
      <c r="F27">
        <v>7.3487200000000001</v>
      </c>
      <c r="G27">
        <v>3.8792900000000001</v>
      </c>
      <c r="H27" t="s">
        <v>166</v>
      </c>
      <c r="I27">
        <v>470</v>
      </c>
      <c r="J27" t="s">
        <v>166</v>
      </c>
      <c r="K27">
        <v>470</v>
      </c>
      <c r="L27" t="s">
        <v>167</v>
      </c>
      <c r="M27">
        <v>469</v>
      </c>
      <c r="N27" t="s">
        <v>167</v>
      </c>
      <c r="O27" t="s">
        <v>201</v>
      </c>
      <c r="P27" t="s">
        <v>263</v>
      </c>
      <c r="Q27">
        <v>0</v>
      </c>
      <c r="R27">
        <v>2.7988800000000001E-3</v>
      </c>
      <c r="S27" s="2" t="s">
        <v>1394</v>
      </c>
      <c r="T27" t="s">
        <v>444</v>
      </c>
      <c r="V27" t="s">
        <v>194</v>
      </c>
      <c r="W27" t="s">
        <v>195</v>
      </c>
      <c r="X27" t="s">
        <v>196</v>
      </c>
      <c r="Y27" t="s">
        <v>197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221</v>
      </c>
    </row>
    <row r="28" spans="1:166" x14ac:dyDescent="0.3">
      <c r="A28" t="s">
        <v>264</v>
      </c>
      <c r="B28" t="s">
        <v>265</v>
      </c>
      <c r="C28" t="s">
        <v>198</v>
      </c>
      <c r="D28">
        <v>2021</v>
      </c>
      <c r="E28" t="s">
        <v>191</v>
      </c>
      <c r="F28">
        <v>7.3487200000000001</v>
      </c>
      <c r="G28">
        <v>3.8792900000000001</v>
      </c>
      <c r="H28" t="s">
        <v>166</v>
      </c>
      <c r="I28">
        <v>470</v>
      </c>
      <c r="J28" t="s">
        <v>166</v>
      </c>
      <c r="K28">
        <v>470</v>
      </c>
      <c r="L28" t="s">
        <v>167</v>
      </c>
      <c r="M28">
        <v>469</v>
      </c>
      <c r="N28" t="s">
        <v>167</v>
      </c>
      <c r="O28" t="s">
        <v>266</v>
      </c>
      <c r="P28" t="s">
        <v>267</v>
      </c>
      <c r="Q28">
        <v>0</v>
      </c>
      <c r="R28">
        <v>2.1891800000000002E-3</v>
      </c>
      <c r="V28" t="s">
        <v>194</v>
      </c>
      <c r="W28" t="s">
        <v>195</v>
      </c>
      <c r="X28" t="s">
        <v>196</v>
      </c>
      <c r="Y28" t="s">
        <v>197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1</v>
      </c>
      <c r="FB28">
        <v>0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973</v>
      </c>
    </row>
    <row r="29" spans="1:166" x14ac:dyDescent="0.3">
      <c r="A29" t="s">
        <v>268</v>
      </c>
      <c r="B29" t="s">
        <v>269</v>
      </c>
      <c r="C29" t="s">
        <v>198</v>
      </c>
      <c r="D29">
        <v>2021</v>
      </c>
      <c r="E29" t="s">
        <v>191</v>
      </c>
      <c r="F29">
        <v>7.3487200000000001</v>
      </c>
      <c r="G29">
        <v>3.8792900000000001</v>
      </c>
      <c r="H29" t="s">
        <v>166</v>
      </c>
      <c r="I29">
        <v>470</v>
      </c>
      <c r="J29" t="s">
        <v>166</v>
      </c>
      <c r="K29">
        <v>470</v>
      </c>
      <c r="L29" t="s">
        <v>167</v>
      </c>
      <c r="M29">
        <v>469</v>
      </c>
      <c r="N29" t="s">
        <v>167</v>
      </c>
      <c r="O29" t="s">
        <v>225</v>
      </c>
      <c r="P29" t="s">
        <v>270</v>
      </c>
      <c r="Q29">
        <v>0</v>
      </c>
      <c r="R29">
        <v>8.0049700000000001E-3</v>
      </c>
      <c r="S29" s="2" t="s">
        <v>1298</v>
      </c>
      <c r="T29" t="s">
        <v>444</v>
      </c>
      <c r="V29" t="s">
        <v>194</v>
      </c>
      <c r="W29" t="s">
        <v>195</v>
      </c>
      <c r="X29" t="s">
        <v>196</v>
      </c>
      <c r="Y29" t="s">
        <v>197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2227</v>
      </c>
    </row>
    <row r="30" spans="1:166" x14ac:dyDescent="0.3">
      <c r="A30" t="s">
        <v>271</v>
      </c>
      <c r="B30" t="s">
        <v>272</v>
      </c>
      <c r="C30" t="s">
        <v>198</v>
      </c>
      <c r="D30">
        <v>2021</v>
      </c>
      <c r="E30" t="s">
        <v>191</v>
      </c>
      <c r="F30">
        <v>7.3487200000000001</v>
      </c>
      <c r="G30">
        <v>3.8792900000000001</v>
      </c>
      <c r="H30" t="s">
        <v>166</v>
      </c>
      <c r="I30">
        <v>470</v>
      </c>
      <c r="J30" t="s">
        <v>166</v>
      </c>
      <c r="K30">
        <v>470</v>
      </c>
      <c r="L30" t="s">
        <v>167</v>
      </c>
      <c r="M30">
        <v>469</v>
      </c>
      <c r="N30" t="s">
        <v>167</v>
      </c>
      <c r="O30" t="s">
        <v>229</v>
      </c>
      <c r="P30" t="s">
        <v>273</v>
      </c>
      <c r="Q30">
        <v>0</v>
      </c>
      <c r="R30">
        <v>6.1455800000000003E-3</v>
      </c>
      <c r="S30" s="2" t="s">
        <v>1298</v>
      </c>
      <c r="T30" t="s">
        <v>444</v>
      </c>
      <c r="V30" t="s">
        <v>194</v>
      </c>
      <c r="W30" t="s">
        <v>195</v>
      </c>
      <c r="X30" t="s">
        <v>196</v>
      </c>
      <c r="Y30" t="s">
        <v>197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 t="s">
        <v>198</v>
      </c>
    </row>
    <row r="31" spans="1:166" x14ac:dyDescent="0.3">
      <c r="A31" t="s">
        <v>274</v>
      </c>
      <c r="B31" t="s">
        <v>275</v>
      </c>
      <c r="C31" t="s">
        <v>198</v>
      </c>
      <c r="D31">
        <v>2021</v>
      </c>
      <c r="E31" t="s">
        <v>191</v>
      </c>
      <c r="F31">
        <v>7.3487200000000001</v>
      </c>
      <c r="G31">
        <v>3.8792900000000001</v>
      </c>
      <c r="H31" t="s">
        <v>166</v>
      </c>
      <c r="I31">
        <v>470</v>
      </c>
      <c r="J31" t="s">
        <v>166</v>
      </c>
      <c r="K31">
        <v>470</v>
      </c>
      <c r="L31" t="s">
        <v>167</v>
      </c>
      <c r="M31">
        <v>469</v>
      </c>
      <c r="N31" t="s">
        <v>167</v>
      </c>
      <c r="O31" t="s">
        <v>266</v>
      </c>
      <c r="P31" t="s">
        <v>276</v>
      </c>
      <c r="Q31">
        <v>0</v>
      </c>
      <c r="R31">
        <v>2.2710400000000002E-3</v>
      </c>
      <c r="S31" s="2" t="s">
        <v>1298</v>
      </c>
      <c r="T31" t="s">
        <v>444</v>
      </c>
      <c r="V31" t="s">
        <v>194</v>
      </c>
      <c r="W31" t="s">
        <v>195</v>
      </c>
      <c r="X31" t="s">
        <v>196</v>
      </c>
      <c r="Y31" t="s">
        <v>197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0</v>
      </c>
      <c r="FC31">
        <v>1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973</v>
      </c>
    </row>
    <row r="32" spans="1:166" x14ac:dyDescent="0.3">
      <c r="A32" t="s">
        <v>277</v>
      </c>
      <c r="B32" t="s">
        <v>278</v>
      </c>
      <c r="C32" t="s">
        <v>198</v>
      </c>
      <c r="D32">
        <v>2022</v>
      </c>
      <c r="E32" t="s">
        <v>191</v>
      </c>
      <c r="F32">
        <v>7.3487200000000001</v>
      </c>
      <c r="G32">
        <v>3.8792900000000001</v>
      </c>
      <c r="H32" t="s">
        <v>166</v>
      </c>
      <c r="I32">
        <v>470</v>
      </c>
      <c r="J32" t="s">
        <v>166</v>
      </c>
      <c r="K32">
        <v>470</v>
      </c>
      <c r="L32" t="s">
        <v>167</v>
      </c>
      <c r="M32">
        <v>469</v>
      </c>
      <c r="N32" t="s">
        <v>167</v>
      </c>
      <c r="O32" t="s">
        <v>279</v>
      </c>
      <c r="P32" t="s">
        <v>175</v>
      </c>
      <c r="Q32">
        <v>0</v>
      </c>
      <c r="R32">
        <v>1.0834200000000001E-3</v>
      </c>
      <c r="S32" s="2" t="s">
        <v>1394</v>
      </c>
      <c r="T32" t="s">
        <v>444</v>
      </c>
      <c r="V32" t="s">
        <v>194</v>
      </c>
      <c r="W32" t="s">
        <v>195</v>
      </c>
      <c r="X32" t="s">
        <v>196</v>
      </c>
      <c r="Y32" t="s">
        <v>197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622</v>
      </c>
    </row>
    <row r="33" spans="1:166" x14ac:dyDescent="0.3">
      <c r="A33" t="s">
        <v>280</v>
      </c>
      <c r="B33" t="s">
        <v>281</v>
      </c>
      <c r="C33" t="s">
        <v>198</v>
      </c>
      <c r="D33">
        <v>2021</v>
      </c>
      <c r="E33" t="s">
        <v>191</v>
      </c>
      <c r="F33">
        <v>7.3487200000000001</v>
      </c>
      <c r="G33">
        <v>3.8792900000000001</v>
      </c>
      <c r="H33" t="s">
        <v>166</v>
      </c>
      <c r="I33">
        <v>470</v>
      </c>
      <c r="J33" t="s">
        <v>166</v>
      </c>
      <c r="K33">
        <v>470</v>
      </c>
      <c r="L33" t="s">
        <v>167</v>
      </c>
      <c r="M33">
        <v>469</v>
      </c>
      <c r="N33" t="s">
        <v>167</v>
      </c>
      <c r="O33" t="s">
        <v>282</v>
      </c>
      <c r="P33" t="s">
        <v>283</v>
      </c>
      <c r="Q33">
        <v>0</v>
      </c>
      <c r="R33">
        <v>1.8123600000000001E-3</v>
      </c>
      <c r="S33" s="2" t="s">
        <v>1298</v>
      </c>
      <c r="T33" t="s">
        <v>444</v>
      </c>
      <c r="V33" t="s">
        <v>194</v>
      </c>
      <c r="W33" t="s">
        <v>195</v>
      </c>
      <c r="X33" t="s">
        <v>196</v>
      </c>
      <c r="Y33" t="s">
        <v>197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0</v>
      </c>
      <c r="FA33">
        <v>0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1</v>
      </c>
      <c r="FH33">
        <v>0</v>
      </c>
      <c r="FI33">
        <v>0</v>
      </c>
      <c r="FJ33">
        <v>78</v>
      </c>
    </row>
    <row r="34" spans="1:166" x14ac:dyDescent="0.3">
      <c r="A34" t="s">
        <v>284</v>
      </c>
      <c r="B34" t="s">
        <v>285</v>
      </c>
      <c r="C34" t="s">
        <v>198</v>
      </c>
      <c r="D34">
        <v>2021</v>
      </c>
      <c r="E34" t="s">
        <v>191</v>
      </c>
      <c r="F34">
        <v>7.3487200000000001</v>
      </c>
      <c r="G34">
        <v>3.8792900000000001</v>
      </c>
      <c r="H34" t="s">
        <v>166</v>
      </c>
      <c r="I34">
        <v>470</v>
      </c>
      <c r="J34" t="s">
        <v>166</v>
      </c>
      <c r="K34">
        <v>470</v>
      </c>
      <c r="L34" t="s">
        <v>167</v>
      </c>
      <c r="M34">
        <v>469</v>
      </c>
      <c r="N34" t="s">
        <v>167</v>
      </c>
      <c r="O34" t="s">
        <v>213</v>
      </c>
      <c r="P34" t="s">
        <v>286</v>
      </c>
      <c r="Q34">
        <v>0</v>
      </c>
      <c r="R34">
        <v>6.6634099999999998E-3</v>
      </c>
      <c r="S34" s="2" t="s">
        <v>1298</v>
      </c>
      <c r="T34" t="s">
        <v>444</v>
      </c>
      <c r="V34" t="s">
        <v>194</v>
      </c>
      <c r="W34" t="s">
        <v>195</v>
      </c>
      <c r="X34" t="s">
        <v>196</v>
      </c>
      <c r="Y34" t="s">
        <v>197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516</v>
      </c>
    </row>
    <row r="35" spans="1:166" x14ac:dyDescent="0.3">
      <c r="A35" t="s">
        <v>287</v>
      </c>
      <c r="B35" t="s">
        <v>288</v>
      </c>
      <c r="C35" t="s">
        <v>198</v>
      </c>
      <c r="D35">
        <v>2021</v>
      </c>
      <c r="E35" t="s">
        <v>191</v>
      </c>
      <c r="F35">
        <v>7.3487200000000001</v>
      </c>
      <c r="G35">
        <v>3.8792900000000001</v>
      </c>
      <c r="H35" t="s">
        <v>166</v>
      </c>
      <c r="I35">
        <v>470</v>
      </c>
      <c r="J35" t="s">
        <v>166</v>
      </c>
      <c r="K35">
        <v>470</v>
      </c>
      <c r="L35" t="s">
        <v>167</v>
      </c>
      <c r="M35">
        <v>469</v>
      </c>
      <c r="N35" t="s">
        <v>167</v>
      </c>
      <c r="O35" t="s">
        <v>289</v>
      </c>
      <c r="P35" t="s">
        <v>290</v>
      </c>
      <c r="Q35">
        <v>0</v>
      </c>
      <c r="R35">
        <v>5.3260299999999998E-4</v>
      </c>
      <c r="S35" s="2" t="s">
        <v>1298</v>
      </c>
      <c r="T35" t="s">
        <v>444</v>
      </c>
      <c r="V35" t="s">
        <v>194</v>
      </c>
      <c r="W35" t="s">
        <v>195</v>
      </c>
      <c r="X35" t="s">
        <v>196</v>
      </c>
      <c r="Y35" t="s">
        <v>197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1</v>
      </c>
    </row>
    <row r="36" spans="1:166" x14ac:dyDescent="0.3">
      <c r="A36" t="s">
        <v>291</v>
      </c>
      <c r="B36" t="s">
        <v>292</v>
      </c>
      <c r="C36" t="s">
        <v>198</v>
      </c>
      <c r="D36">
        <v>2022</v>
      </c>
      <c r="E36" t="s">
        <v>191</v>
      </c>
      <c r="F36">
        <v>7.3487200000000001</v>
      </c>
      <c r="G36">
        <v>3.8792900000000001</v>
      </c>
      <c r="H36" t="s">
        <v>166</v>
      </c>
      <c r="I36">
        <v>470</v>
      </c>
      <c r="J36" t="s">
        <v>166</v>
      </c>
      <c r="K36">
        <v>470</v>
      </c>
      <c r="L36" t="s">
        <v>167</v>
      </c>
      <c r="M36">
        <v>469</v>
      </c>
      <c r="N36" t="s">
        <v>167</v>
      </c>
      <c r="O36" t="s">
        <v>217</v>
      </c>
      <c r="P36" t="s">
        <v>293</v>
      </c>
      <c r="Q36">
        <v>0</v>
      </c>
      <c r="R36">
        <v>2.6863899999999999E-3</v>
      </c>
      <c r="S36" s="2" t="s">
        <v>1395</v>
      </c>
      <c r="T36" t="s">
        <v>444</v>
      </c>
      <c r="V36" t="s">
        <v>194</v>
      </c>
      <c r="W36" t="s">
        <v>195</v>
      </c>
      <c r="X36" t="s">
        <v>196</v>
      </c>
      <c r="Y36" t="s">
        <v>197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 t="s">
        <v>198</v>
      </c>
    </row>
    <row r="37" spans="1:166" x14ac:dyDescent="0.3">
      <c r="A37" t="s">
        <v>294</v>
      </c>
      <c r="B37" t="s">
        <v>295</v>
      </c>
      <c r="C37" t="s">
        <v>198</v>
      </c>
      <c r="D37">
        <v>2021</v>
      </c>
      <c r="E37" t="s">
        <v>191</v>
      </c>
      <c r="F37">
        <v>7.3487200000000001</v>
      </c>
      <c r="G37">
        <v>3.8792900000000001</v>
      </c>
      <c r="H37" t="s">
        <v>166</v>
      </c>
      <c r="I37">
        <v>470</v>
      </c>
      <c r="J37" t="s">
        <v>166</v>
      </c>
      <c r="K37">
        <v>470</v>
      </c>
      <c r="L37" t="s">
        <v>167</v>
      </c>
      <c r="M37">
        <v>469</v>
      </c>
      <c r="N37" t="s">
        <v>167</v>
      </c>
      <c r="O37" t="s">
        <v>266</v>
      </c>
      <c r="P37" t="s">
        <v>267</v>
      </c>
      <c r="Q37">
        <v>0</v>
      </c>
      <c r="R37">
        <v>2.1891800000000002E-3</v>
      </c>
      <c r="V37" t="s">
        <v>194</v>
      </c>
      <c r="W37" t="s">
        <v>195</v>
      </c>
      <c r="X37" t="s">
        <v>196</v>
      </c>
      <c r="Y37" t="s">
        <v>197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0</v>
      </c>
      <c r="FA37">
        <v>1</v>
      </c>
      <c r="FB37">
        <v>0</v>
      </c>
      <c r="FC37">
        <v>1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973</v>
      </c>
    </row>
    <row r="38" spans="1:166" x14ac:dyDescent="0.3">
      <c r="A38" t="s">
        <v>296</v>
      </c>
      <c r="B38" t="s">
        <v>297</v>
      </c>
      <c r="C38" t="s">
        <v>198</v>
      </c>
      <c r="D38">
        <v>2022</v>
      </c>
      <c r="E38" t="s">
        <v>191</v>
      </c>
      <c r="F38">
        <v>7.3487200000000001</v>
      </c>
      <c r="G38">
        <v>3.8792900000000001</v>
      </c>
      <c r="H38" t="s">
        <v>166</v>
      </c>
      <c r="I38">
        <v>470</v>
      </c>
      <c r="J38" t="s">
        <v>166</v>
      </c>
      <c r="K38">
        <v>470</v>
      </c>
      <c r="L38" t="s">
        <v>167</v>
      </c>
      <c r="M38">
        <v>469</v>
      </c>
      <c r="N38" t="s">
        <v>167</v>
      </c>
      <c r="O38" t="s">
        <v>254</v>
      </c>
      <c r="P38" t="s">
        <v>255</v>
      </c>
      <c r="Q38">
        <v>0</v>
      </c>
      <c r="R38">
        <v>1.4960100000000001E-3</v>
      </c>
      <c r="S38" s="2" t="s">
        <v>1396</v>
      </c>
      <c r="T38" t="s">
        <v>444</v>
      </c>
      <c r="V38" t="s">
        <v>194</v>
      </c>
      <c r="W38" t="s">
        <v>195</v>
      </c>
      <c r="X38" t="s">
        <v>196</v>
      </c>
      <c r="Y38" t="s">
        <v>197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32</v>
      </c>
    </row>
    <row r="39" spans="1:166" x14ac:dyDescent="0.3">
      <c r="A39" t="s">
        <v>298</v>
      </c>
      <c r="B39" t="s">
        <v>299</v>
      </c>
      <c r="C39" t="s">
        <v>198</v>
      </c>
      <c r="D39">
        <v>2022</v>
      </c>
      <c r="E39" t="s">
        <v>191</v>
      </c>
      <c r="F39">
        <v>7.3487200000000001</v>
      </c>
      <c r="G39">
        <v>3.8792900000000001</v>
      </c>
      <c r="H39" t="s">
        <v>166</v>
      </c>
      <c r="I39">
        <v>470</v>
      </c>
      <c r="J39" t="s">
        <v>166</v>
      </c>
      <c r="K39">
        <v>470</v>
      </c>
      <c r="L39" t="s">
        <v>167</v>
      </c>
      <c r="M39">
        <v>469</v>
      </c>
      <c r="N39" t="s">
        <v>167</v>
      </c>
      <c r="O39" t="s">
        <v>279</v>
      </c>
      <c r="P39" t="s">
        <v>241</v>
      </c>
      <c r="Q39">
        <v>0</v>
      </c>
      <c r="R39">
        <v>1.0579700000000001E-3</v>
      </c>
      <c r="V39" t="s">
        <v>194</v>
      </c>
      <c r="W39" t="s">
        <v>195</v>
      </c>
      <c r="X39" t="s">
        <v>196</v>
      </c>
      <c r="Y39" t="s">
        <v>197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0</v>
      </c>
      <c r="FA39">
        <v>1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622</v>
      </c>
    </row>
    <row r="40" spans="1:166" x14ac:dyDescent="0.3">
      <c r="A40" t="s">
        <v>300</v>
      </c>
      <c r="B40" t="s">
        <v>301</v>
      </c>
      <c r="C40" t="s">
        <v>198</v>
      </c>
      <c r="D40">
        <v>2021</v>
      </c>
      <c r="E40" t="s">
        <v>191</v>
      </c>
      <c r="F40">
        <v>7.3487200000000001</v>
      </c>
      <c r="G40">
        <v>3.8792900000000001</v>
      </c>
      <c r="H40" t="s">
        <v>166</v>
      </c>
      <c r="I40">
        <v>470</v>
      </c>
      <c r="J40" t="s">
        <v>166</v>
      </c>
      <c r="K40">
        <v>470</v>
      </c>
      <c r="L40" t="s">
        <v>167</v>
      </c>
      <c r="M40">
        <v>469</v>
      </c>
      <c r="N40" t="s">
        <v>167</v>
      </c>
      <c r="O40" t="s">
        <v>225</v>
      </c>
      <c r="P40" t="s">
        <v>302</v>
      </c>
      <c r="Q40">
        <v>0</v>
      </c>
      <c r="R40">
        <v>7.7438300000000002E-3</v>
      </c>
      <c r="V40" t="s">
        <v>194</v>
      </c>
      <c r="W40" t="s">
        <v>195</v>
      </c>
      <c r="X40" t="s">
        <v>196</v>
      </c>
      <c r="Y40" t="s">
        <v>197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1464</v>
      </c>
    </row>
    <row r="41" spans="1:166" x14ac:dyDescent="0.3">
      <c r="A41" t="s">
        <v>303</v>
      </c>
      <c r="B41" t="s">
        <v>304</v>
      </c>
      <c r="C41" t="s">
        <v>198</v>
      </c>
      <c r="D41">
        <v>2022</v>
      </c>
      <c r="E41" t="s">
        <v>191</v>
      </c>
      <c r="F41">
        <v>7.3487200000000001</v>
      </c>
      <c r="G41">
        <v>3.8792900000000001</v>
      </c>
      <c r="H41" t="s">
        <v>166</v>
      </c>
      <c r="I41">
        <v>470</v>
      </c>
      <c r="J41" t="s">
        <v>166</v>
      </c>
      <c r="K41">
        <v>470</v>
      </c>
      <c r="L41" t="s">
        <v>167</v>
      </c>
      <c r="M41">
        <v>469</v>
      </c>
      <c r="N41" t="s">
        <v>167</v>
      </c>
      <c r="O41" t="s">
        <v>205</v>
      </c>
      <c r="P41" t="s">
        <v>305</v>
      </c>
      <c r="Q41">
        <v>0</v>
      </c>
      <c r="R41">
        <v>2.32584E-3</v>
      </c>
      <c r="V41" t="s">
        <v>194</v>
      </c>
      <c r="W41" t="s">
        <v>195</v>
      </c>
      <c r="X41" t="s">
        <v>196</v>
      </c>
      <c r="Y41" t="s">
        <v>197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103</v>
      </c>
    </row>
    <row r="42" spans="1:166" x14ac:dyDescent="0.3">
      <c r="A42" t="s">
        <v>306</v>
      </c>
      <c r="B42" t="s">
        <v>307</v>
      </c>
      <c r="C42" t="s">
        <v>198</v>
      </c>
      <c r="D42">
        <v>2021</v>
      </c>
      <c r="E42" t="s">
        <v>191</v>
      </c>
      <c r="F42">
        <v>7.3487200000000001</v>
      </c>
      <c r="G42">
        <v>3.8792900000000001</v>
      </c>
      <c r="H42" t="s">
        <v>166</v>
      </c>
      <c r="I42">
        <v>470</v>
      </c>
      <c r="J42" t="s">
        <v>166</v>
      </c>
      <c r="K42">
        <v>470</v>
      </c>
      <c r="L42" t="s">
        <v>167</v>
      </c>
      <c r="M42">
        <v>469</v>
      </c>
      <c r="N42" t="s">
        <v>167</v>
      </c>
      <c r="O42" t="s">
        <v>229</v>
      </c>
      <c r="P42" t="s">
        <v>230</v>
      </c>
      <c r="Q42">
        <v>0</v>
      </c>
      <c r="R42">
        <v>5.3460599999999997E-3</v>
      </c>
      <c r="S42" t="s">
        <v>1298</v>
      </c>
      <c r="T42" t="s">
        <v>444</v>
      </c>
      <c r="V42" t="s">
        <v>194</v>
      </c>
      <c r="W42" t="s">
        <v>195</v>
      </c>
      <c r="X42" t="s">
        <v>196</v>
      </c>
      <c r="Y42" t="s">
        <v>197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 t="s">
        <v>198</v>
      </c>
    </row>
    <row r="43" spans="1:166" x14ac:dyDescent="0.3">
      <c r="A43" t="s">
        <v>308</v>
      </c>
      <c r="B43" t="s">
        <v>309</v>
      </c>
      <c r="C43" t="s">
        <v>198</v>
      </c>
      <c r="D43">
        <v>2022</v>
      </c>
      <c r="E43" t="s">
        <v>191</v>
      </c>
      <c r="F43">
        <v>7.3487200000000001</v>
      </c>
      <c r="G43">
        <v>3.8792900000000001</v>
      </c>
      <c r="H43" t="s">
        <v>166</v>
      </c>
      <c r="I43">
        <v>470</v>
      </c>
      <c r="J43" t="s">
        <v>166</v>
      </c>
      <c r="K43">
        <v>470</v>
      </c>
      <c r="L43" t="s">
        <v>167</v>
      </c>
      <c r="M43">
        <v>469</v>
      </c>
      <c r="N43" t="s">
        <v>167</v>
      </c>
      <c r="O43" t="s">
        <v>209</v>
      </c>
      <c r="P43" t="s">
        <v>310</v>
      </c>
      <c r="Q43">
        <v>0</v>
      </c>
      <c r="R43">
        <v>1.7062399999999999E-3</v>
      </c>
      <c r="S43" t="s">
        <v>1301</v>
      </c>
      <c r="T43" t="s">
        <v>444</v>
      </c>
      <c r="V43" t="s">
        <v>194</v>
      </c>
      <c r="W43" t="s">
        <v>195</v>
      </c>
      <c r="X43" t="s">
        <v>196</v>
      </c>
      <c r="Y43" t="s">
        <v>197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409</v>
      </c>
    </row>
    <row r="44" spans="1:166" x14ac:dyDescent="0.3">
      <c r="A44" t="s">
        <v>311</v>
      </c>
      <c r="B44" t="s">
        <v>312</v>
      </c>
      <c r="C44" t="s">
        <v>198</v>
      </c>
      <c r="D44">
        <v>2021</v>
      </c>
      <c r="E44" t="s">
        <v>191</v>
      </c>
      <c r="F44">
        <v>7.3487200000000001</v>
      </c>
      <c r="G44">
        <v>3.8792900000000001</v>
      </c>
      <c r="H44" t="s">
        <v>166</v>
      </c>
      <c r="I44">
        <v>470</v>
      </c>
      <c r="J44" t="s">
        <v>166</v>
      </c>
      <c r="K44">
        <v>470</v>
      </c>
      <c r="L44" t="s">
        <v>167</v>
      </c>
      <c r="M44">
        <v>469</v>
      </c>
      <c r="N44" t="s">
        <v>167</v>
      </c>
      <c r="O44" t="s">
        <v>225</v>
      </c>
      <c r="P44" t="s">
        <v>313</v>
      </c>
      <c r="Q44">
        <v>0</v>
      </c>
      <c r="R44">
        <v>8.7320399999999999E-3</v>
      </c>
      <c r="S44" t="s">
        <v>1298</v>
      </c>
      <c r="T44" t="s">
        <v>444</v>
      </c>
      <c r="V44" t="s">
        <v>194</v>
      </c>
      <c r="W44" t="s">
        <v>195</v>
      </c>
      <c r="X44" t="s">
        <v>196</v>
      </c>
      <c r="Y44" t="s">
        <v>197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 t="s">
        <v>198</v>
      </c>
    </row>
    <row r="45" spans="1:166" x14ac:dyDescent="0.3">
      <c r="A45" t="s">
        <v>314</v>
      </c>
      <c r="B45" t="s">
        <v>315</v>
      </c>
      <c r="C45" t="s">
        <v>198</v>
      </c>
      <c r="D45">
        <v>2022</v>
      </c>
      <c r="E45" t="s">
        <v>191</v>
      </c>
      <c r="F45">
        <v>7.3487200000000001</v>
      </c>
      <c r="G45">
        <v>3.8792900000000001</v>
      </c>
      <c r="H45" t="s">
        <v>166</v>
      </c>
      <c r="I45">
        <v>470</v>
      </c>
      <c r="J45" t="s">
        <v>166</v>
      </c>
      <c r="K45">
        <v>470</v>
      </c>
      <c r="L45" t="s">
        <v>167</v>
      </c>
      <c r="M45">
        <v>469</v>
      </c>
      <c r="N45" t="s">
        <v>167</v>
      </c>
      <c r="O45" t="s">
        <v>254</v>
      </c>
      <c r="P45" t="s">
        <v>316</v>
      </c>
      <c r="Q45">
        <v>0</v>
      </c>
      <c r="R45">
        <v>1.31423E-3</v>
      </c>
      <c r="S45" t="s">
        <v>1298</v>
      </c>
      <c r="T45" t="s">
        <v>444</v>
      </c>
      <c r="V45" t="s">
        <v>194</v>
      </c>
      <c r="W45" t="s">
        <v>195</v>
      </c>
      <c r="X45" t="s">
        <v>196</v>
      </c>
      <c r="Y45" t="s">
        <v>197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32</v>
      </c>
    </row>
    <row r="46" spans="1:166" x14ac:dyDescent="0.3">
      <c r="A46" t="s">
        <v>317</v>
      </c>
      <c r="B46" t="s">
        <v>318</v>
      </c>
      <c r="C46" s="1" t="s">
        <v>198</v>
      </c>
      <c r="D46">
        <v>2022</v>
      </c>
      <c r="E46" t="s">
        <v>191</v>
      </c>
      <c r="F46">
        <v>7.3487200000000001</v>
      </c>
      <c r="G46">
        <v>3.8792900000000001</v>
      </c>
      <c r="H46" t="s">
        <v>166</v>
      </c>
      <c r="I46">
        <v>470</v>
      </c>
      <c r="J46" t="s">
        <v>166</v>
      </c>
      <c r="K46">
        <v>470</v>
      </c>
      <c r="L46" t="s">
        <v>167</v>
      </c>
      <c r="M46">
        <v>469</v>
      </c>
      <c r="N46" t="s">
        <v>167</v>
      </c>
      <c r="O46" t="s">
        <v>209</v>
      </c>
      <c r="P46" t="s">
        <v>251</v>
      </c>
      <c r="Q46">
        <v>0</v>
      </c>
      <c r="R46">
        <v>1.0072E-3</v>
      </c>
      <c r="S46" t="s">
        <v>1301</v>
      </c>
      <c r="T46" t="s">
        <v>444</v>
      </c>
      <c r="V46" t="s">
        <v>194</v>
      </c>
      <c r="W46" t="s">
        <v>195</v>
      </c>
      <c r="X46" t="s">
        <v>196</v>
      </c>
      <c r="Y46" t="s">
        <v>197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409</v>
      </c>
    </row>
    <row r="47" spans="1:166" x14ac:dyDescent="0.3">
      <c r="A47" t="s">
        <v>319</v>
      </c>
      <c r="B47" t="s">
        <v>320</v>
      </c>
      <c r="C47" t="s">
        <v>198</v>
      </c>
      <c r="D47">
        <v>2021</v>
      </c>
      <c r="E47" t="s">
        <v>191</v>
      </c>
      <c r="F47">
        <v>7.3487200000000001</v>
      </c>
      <c r="G47">
        <v>3.8792900000000001</v>
      </c>
      <c r="H47" t="s">
        <v>166</v>
      </c>
      <c r="I47">
        <v>470</v>
      </c>
      <c r="J47" t="s">
        <v>166</v>
      </c>
      <c r="K47">
        <v>470</v>
      </c>
      <c r="L47" t="s">
        <v>167</v>
      </c>
      <c r="M47">
        <v>469</v>
      </c>
      <c r="N47" t="s">
        <v>167</v>
      </c>
      <c r="O47" t="s">
        <v>321</v>
      </c>
      <c r="P47" t="s">
        <v>322</v>
      </c>
      <c r="Q47">
        <v>0</v>
      </c>
      <c r="R47">
        <v>6.3165900000000004E-3</v>
      </c>
      <c r="S47" t="s">
        <v>1397</v>
      </c>
      <c r="T47" t="s">
        <v>444</v>
      </c>
      <c r="V47" t="s">
        <v>194</v>
      </c>
      <c r="W47" t="s">
        <v>195</v>
      </c>
      <c r="X47" t="s">
        <v>196</v>
      </c>
      <c r="Y47" t="s">
        <v>197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1463</v>
      </c>
    </row>
    <row r="48" spans="1:166" x14ac:dyDescent="0.3">
      <c r="A48" t="s">
        <v>323</v>
      </c>
      <c r="B48" t="s">
        <v>324</v>
      </c>
      <c r="C48" t="s">
        <v>198</v>
      </c>
      <c r="D48">
        <v>2021</v>
      </c>
      <c r="E48" t="s">
        <v>191</v>
      </c>
      <c r="F48">
        <v>7.3487200000000001</v>
      </c>
      <c r="G48">
        <v>3.8792900000000001</v>
      </c>
      <c r="H48" t="s">
        <v>166</v>
      </c>
      <c r="I48">
        <v>470</v>
      </c>
      <c r="J48" t="s">
        <v>166</v>
      </c>
      <c r="K48">
        <v>470</v>
      </c>
      <c r="L48" t="s">
        <v>167</v>
      </c>
      <c r="M48">
        <v>469</v>
      </c>
      <c r="N48" t="s">
        <v>167</v>
      </c>
      <c r="O48" t="s">
        <v>325</v>
      </c>
      <c r="P48" t="s">
        <v>326</v>
      </c>
      <c r="Q48">
        <v>0</v>
      </c>
      <c r="R48">
        <v>6.91005E-3</v>
      </c>
      <c r="S48" t="s">
        <v>1394</v>
      </c>
      <c r="T48" t="s">
        <v>444</v>
      </c>
      <c r="V48" t="s">
        <v>194</v>
      </c>
      <c r="W48" t="s">
        <v>195</v>
      </c>
      <c r="X48" t="s">
        <v>196</v>
      </c>
      <c r="Y48" t="s">
        <v>197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516</v>
      </c>
    </row>
    <row r="49" spans="1:166" x14ac:dyDescent="0.3">
      <c r="A49" t="s">
        <v>327</v>
      </c>
      <c r="B49" t="s">
        <v>328</v>
      </c>
      <c r="C49" t="s">
        <v>198</v>
      </c>
      <c r="D49">
        <v>2022</v>
      </c>
      <c r="E49" t="s">
        <v>191</v>
      </c>
      <c r="F49">
        <v>7.3487200000000001</v>
      </c>
      <c r="G49">
        <v>3.8792900000000001</v>
      </c>
      <c r="H49" t="s">
        <v>166</v>
      </c>
      <c r="I49">
        <v>470</v>
      </c>
      <c r="J49" t="s">
        <v>166</v>
      </c>
      <c r="K49">
        <v>470</v>
      </c>
      <c r="L49" t="s">
        <v>167</v>
      </c>
      <c r="M49">
        <v>469</v>
      </c>
      <c r="N49" t="s">
        <v>167</v>
      </c>
      <c r="O49" t="s">
        <v>329</v>
      </c>
      <c r="P49" t="s">
        <v>330</v>
      </c>
      <c r="Q49">
        <v>0</v>
      </c>
      <c r="R49">
        <v>9.3133400000000002E-4</v>
      </c>
      <c r="S49" t="s">
        <v>1301</v>
      </c>
      <c r="T49" t="s">
        <v>444</v>
      </c>
      <c r="V49" t="s">
        <v>194</v>
      </c>
      <c r="W49" t="s">
        <v>195</v>
      </c>
      <c r="X49" t="s">
        <v>196</v>
      </c>
      <c r="Y49" t="s">
        <v>197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1</v>
      </c>
      <c r="EY49">
        <v>1</v>
      </c>
      <c r="EZ49">
        <v>0</v>
      </c>
      <c r="FA49">
        <v>1</v>
      </c>
      <c r="FB49">
        <v>0</v>
      </c>
      <c r="FC49">
        <v>1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 t="s">
        <v>198</v>
      </c>
    </row>
    <row r="50" spans="1:166" x14ac:dyDescent="0.3">
      <c r="A50" t="s">
        <v>331</v>
      </c>
      <c r="B50" t="s">
        <v>332</v>
      </c>
      <c r="C50" t="s">
        <v>198</v>
      </c>
      <c r="D50">
        <v>2022</v>
      </c>
      <c r="E50" t="s">
        <v>191</v>
      </c>
      <c r="F50">
        <v>7.3487200000000001</v>
      </c>
      <c r="G50">
        <v>3.8792900000000001</v>
      </c>
      <c r="H50" t="s">
        <v>166</v>
      </c>
      <c r="I50">
        <v>470</v>
      </c>
      <c r="J50" t="s">
        <v>166</v>
      </c>
      <c r="K50">
        <v>470</v>
      </c>
      <c r="L50" t="s">
        <v>167</v>
      </c>
      <c r="M50">
        <v>469</v>
      </c>
      <c r="N50" t="s">
        <v>167</v>
      </c>
      <c r="O50" t="s">
        <v>329</v>
      </c>
      <c r="P50" t="s">
        <v>333</v>
      </c>
      <c r="Q50">
        <v>0</v>
      </c>
      <c r="R50">
        <v>1.0325600000000001E-3</v>
      </c>
      <c r="S50" t="s">
        <v>1301</v>
      </c>
      <c r="T50" t="s">
        <v>444</v>
      </c>
      <c r="V50" t="s">
        <v>194</v>
      </c>
      <c r="W50" t="s">
        <v>195</v>
      </c>
      <c r="X50" t="s">
        <v>196</v>
      </c>
      <c r="Y50" t="s">
        <v>197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149</v>
      </c>
    </row>
    <row r="51" spans="1:166" x14ac:dyDescent="0.3">
      <c r="A51" t="s">
        <v>334</v>
      </c>
      <c r="B51" t="s">
        <v>335</v>
      </c>
      <c r="C51" t="s">
        <v>198</v>
      </c>
      <c r="D51">
        <v>2022</v>
      </c>
      <c r="E51" t="s">
        <v>191</v>
      </c>
      <c r="F51">
        <v>7.3487200000000001</v>
      </c>
      <c r="G51">
        <v>3.8792900000000001</v>
      </c>
      <c r="H51" t="s">
        <v>166</v>
      </c>
      <c r="I51">
        <v>470</v>
      </c>
      <c r="J51" t="s">
        <v>166</v>
      </c>
      <c r="K51">
        <v>470</v>
      </c>
      <c r="L51" t="s">
        <v>167</v>
      </c>
      <c r="M51">
        <v>469</v>
      </c>
      <c r="N51" t="s">
        <v>167</v>
      </c>
      <c r="O51" t="s">
        <v>336</v>
      </c>
      <c r="P51" t="s">
        <v>337</v>
      </c>
      <c r="Q51">
        <v>0</v>
      </c>
      <c r="R51">
        <v>3.84578E-3</v>
      </c>
      <c r="S51" t="s">
        <v>1300</v>
      </c>
      <c r="T51" t="s">
        <v>444</v>
      </c>
      <c r="V51" t="s">
        <v>194</v>
      </c>
      <c r="W51" t="s">
        <v>195</v>
      </c>
      <c r="X51" t="s">
        <v>196</v>
      </c>
      <c r="Y51" t="s">
        <v>197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10</v>
      </c>
    </row>
    <row r="52" spans="1:166" x14ac:dyDescent="0.3">
      <c r="A52" t="s">
        <v>338</v>
      </c>
      <c r="B52" t="s">
        <v>339</v>
      </c>
      <c r="C52" t="s">
        <v>198</v>
      </c>
      <c r="D52">
        <v>2022</v>
      </c>
      <c r="E52" t="s">
        <v>191</v>
      </c>
      <c r="F52">
        <v>7.3487200000000001</v>
      </c>
      <c r="G52">
        <v>3.8792900000000001</v>
      </c>
      <c r="H52" t="s">
        <v>166</v>
      </c>
      <c r="I52">
        <v>470</v>
      </c>
      <c r="J52" t="s">
        <v>166</v>
      </c>
      <c r="K52">
        <v>470</v>
      </c>
      <c r="L52" t="s">
        <v>167</v>
      </c>
      <c r="M52">
        <v>469</v>
      </c>
      <c r="N52" t="s">
        <v>167</v>
      </c>
      <c r="O52" t="s">
        <v>340</v>
      </c>
      <c r="P52" t="s">
        <v>341</v>
      </c>
      <c r="Q52">
        <v>0</v>
      </c>
      <c r="R52">
        <v>3.57808E-3</v>
      </c>
      <c r="S52" t="s">
        <v>1300</v>
      </c>
      <c r="T52" t="s">
        <v>444</v>
      </c>
      <c r="V52" t="s">
        <v>194</v>
      </c>
      <c r="W52" t="s">
        <v>195</v>
      </c>
      <c r="X52" t="s">
        <v>196</v>
      </c>
      <c r="Y52" t="s">
        <v>197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10</v>
      </c>
    </row>
    <row r="53" spans="1:166" x14ac:dyDescent="0.3">
      <c r="A53" t="s">
        <v>342</v>
      </c>
      <c r="B53" t="s">
        <v>343</v>
      </c>
      <c r="C53" t="s">
        <v>198</v>
      </c>
      <c r="D53">
        <v>2021</v>
      </c>
      <c r="E53" t="s">
        <v>191</v>
      </c>
      <c r="F53">
        <v>7.3487200000000001</v>
      </c>
      <c r="G53">
        <v>3.8792900000000001</v>
      </c>
      <c r="H53" t="s">
        <v>166</v>
      </c>
      <c r="I53">
        <v>470</v>
      </c>
      <c r="J53" t="s">
        <v>166</v>
      </c>
      <c r="K53">
        <v>470</v>
      </c>
      <c r="L53" t="s">
        <v>167</v>
      </c>
      <c r="M53">
        <v>469</v>
      </c>
      <c r="N53" t="s">
        <v>167</v>
      </c>
      <c r="O53" t="s">
        <v>217</v>
      </c>
      <c r="P53" t="s">
        <v>344</v>
      </c>
      <c r="Q53">
        <v>0</v>
      </c>
      <c r="R53">
        <v>2.1348299999999999E-3</v>
      </c>
      <c r="S53" t="s">
        <v>1394</v>
      </c>
      <c r="T53" t="s">
        <v>444</v>
      </c>
      <c r="V53" t="s">
        <v>194</v>
      </c>
      <c r="W53" t="s">
        <v>195</v>
      </c>
      <c r="X53" t="s">
        <v>196</v>
      </c>
      <c r="Y53" t="s">
        <v>197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126</v>
      </c>
    </row>
    <row r="54" spans="1:166" x14ac:dyDescent="0.3">
      <c r="A54" t="s">
        <v>345</v>
      </c>
      <c r="B54" t="s">
        <v>346</v>
      </c>
      <c r="C54" t="s">
        <v>198</v>
      </c>
      <c r="D54">
        <v>2021</v>
      </c>
      <c r="E54" t="s">
        <v>191</v>
      </c>
      <c r="F54">
        <v>7.3487200000000001</v>
      </c>
      <c r="G54">
        <v>3.8792900000000001</v>
      </c>
      <c r="H54" t="s">
        <v>166</v>
      </c>
      <c r="I54">
        <v>470</v>
      </c>
      <c r="J54" t="s">
        <v>166</v>
      </c>
      <c r="K54">
        <v>470</v>
      </c>
      <c r="L54" t="s">
        <v>167</v>
      </c>
      <c r="M54">
        <v>469</v>
      </c>
      <c r="N54" t="s">
        <v>167</v>
      </c>
      <c r="O54" t="s">
        <v>221</v>
      </c>
      <c r="P54" t="s">
        <v>347</v>
      </c>
      <c r="Q54">
        <v>0</v>
      </c>
      <c r="R54">
        <v>2.7425399999999999E-3</v>
      </c>
      <c r="S54" t="s">
        <v>1394</v>
      </c>
      <c r="T54" t="s">
        <v>444</v>
      </c>
      <c r="V54" t="s">
        <v>194</v>
      </c>
      <c r="W54" t="s">
        <v>195</v>
      </c>
      <c r="X54" t="s">
        <v>196</v>
      </c>
      <c r="Y54" t="s">
        <v>197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164</v>
      </c>
    </row>
    <row r="55" spans="1:166" x14ac:dyDescent="0.3">
      <c r="A55" t="s">
        <v>348</v>
      </c>
      <c r="B55" t="s">
        <v>349</v>
      </c>
      <c r="C55" t="s">
        <v>198</v>
      </c>
      <c r="D55">
        <v>2021</v>
      </c>
      <c r="E55" t="s">
        <v>191</v>
      </c>
      <c r="F55">
        <v>7.3487200000000001</v>
      </c>
      <c r="G55">
        <v>3.8792900000000001</v>
      </c>
      <c r="H55" t="s">
        <v>166</v>
      </c>
      <c r="I55">
        <v>470</v>
      </c>
      <c r="J55" t="s">
        <v>166</v>
      </c>
      <c r="K55">
        <v>470</v>
      </c>
      <c r="L55" t="s">
        <v>167</v>
      </c>
      <c r="M55">
        <v>469</v>
      </c>
      <c r="N55" t="s">
        <v>167</v>
      </c>
      <c r="O55" t="s">
        <v>350</v>
      </c>
      <c r="P55" t="s">
        <v>351</v>
      </c>
      <c r="Q55">
        <v>0</v>
      </c>
      <c r="R55">
        <v>1.98862E-2</v>
      </c>
      <c r="S55" t="s">
        <v>1394</v>
      </c>
      <c r="T55" t="s">
        <v>444</v>
      </c>
      <c r="V55" t="s">
        <v>194</v>
      </c>
      <c r="W55" t="s">
        <v>195</v>
      </c>
      <c r="X55" t="s">
        <v>196</v>
      </c>
      <c r="Y55" t="s">
        <v>197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 t="s">
        <v>198</v>
      </c>
    </row>
    <row r="56" spans="1:166" x14ac:dyDescent="0.3">
      <c r="A56" t="s">
        <v>352</v>
      </c>
      <c r="B56" t="s">
        <v>353</v>
      </c>
      <c r="C56" t="s">
        <v>198</v>
      </c>
      <c r="D56">
        <v>2022</v>
      </c>
      <c r="E56" t="s">
        <v>191</v>
      </c>
      <c r="F56">
        <v>7.3487200000000001</v>
      </c>
      <c r="G56">
        <v>3.8792900000000001</v>
      </c>
      <c r="H56" t="s">
        <v>166</v>
      </c>
      <c r="I56">
        <v>470</v>
      </c>
      <c r="J56" t="s">
        <v>166</v>
      </c>
      <c r="K56">
        <v>470</v>
      </c>
      <c r="L56" t="s">
        <v>167</v>
      </c>
      <c r="M56">
        <v>469</v>
      </c>
      <c r="N56" t="s">
        <v>167</v>
      </c>
      <c r="O56" t="s">
        <v>254</v>
      </c>
      <c r="P56" t="s">
        <v>354</v>
      </c>
      <c r="Q56">
        <v>0</v>
      </c>
      <c r="R56">
        <v>1.6270900000000001E-3</v>
      </c>
      <c r="S56" t="s">
        <v>1300</v>
      </c>
      <c r="T56" t="s">
        <v>444</v>
      </c>
      <c r="V56" t="s">
        <v>194</v>
      </c>
      <c r="W56" t="s">
        <v>195</v>
      </c>
      <c r="X56" t="s">
        <v>196</v>
      </c>
      <c r="Y56" t="s">
        <v>197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32</v>
      </c>
    </row>
    <row r="57" spans="1:166" x14ac:dyDescent="0.3">
      <c r="A57" t="s">
        <v>355</v>
      </c>
      <c r="B57" t="s">
        <v>356</v>
      </c>
      <c r="C57" t="s">
        <v>198</v>
      </c>
      <c r="D57">
        <v>2022</v>
      </c>
      <c r="E57" t="s">
        <v>191</v>
      </c>
      <c r="F57">
        <v>7.3487200000000001</v>
      </c>
      <c r="G57">
        <v>3.8792900000000001</v>
      </c>
      <c r="H57" t="s">
        <v>166</v>
      </c>
      <c r="I57">
        <v>470</v>
      </c>
      <c r="J57" t="s">
        <v>166</v>
      </c>
      <c r="K57">
        <v>470</v>
      </c>
      <c r="L57" t="s">
        <v>167</v>
      </c>
      <c r="M57">
        <v>469</v>
      </c>
      <c r="N57" t="s">
        <v>167</v>
      </c>
      <c r="O57" t="s">
        <v>213</v>
      </c>
      <c r="P57" t="s">
        <v>234</v>
      </c>
      <c r="Q57">
        <v>0</v>
      </c>
      <c r="R57">
        <v>1.5997999999999998E-2</v>
      </c>
      <c r="S57" t="s">
        <v>1300</v>
      </c>
      <c r="T57" t="s">
        <v>444</v>
      </c>
      <c r="V57" t="s">
        <v>194</v>
      </c>
      <c r="W57" t="s">
        <v>195</v>
      </c>
      <c r="X57" t="s">
        <v>196</v>
      </c>
      <c r="Y57" t="s">
        <v>197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2215</v>
      </c>
    </row>
    <row r="58" spans="1:166" x14ac:dyDescent="0.3">
      <c r="A58" t="s">
        <v>357</v>
      </c>
      <c r="B58" t="s">
        <v>358</v>
      </c>
      <c r="C58" t="s">
        <v>198</v>
      </c>
      <c r="D58">
        <v>2021</v>
      </c>
      <c r="E58" t="s">
        <v>191</v>
      </c>
      <c r="F58">
        <v>7.3487200000000001</v>
      </c>
      <c r="G58">
        <v>3.8792900000000001</v>
      </c>
      <c r="H58" t="s">
        <v>166</v>
      </c>
      <c r="I58">
        <v>470</v>
      </c>
      <c r="J58" t="s">
        <v>166</v>
      </c>
      <c r="K58">
        <v>470</v>
      </c>
      <c r="L58" t="s">
        <v>167</v>
      </c>
      <c r="M58">
        <v>469</v>
      </c>
      <c r="N58" t="s">
        <v>167</v>
      </c>
      <c r="O58" t="s">
        <v>359</v>
      </c>
      <c r="P58" t="s">
        <v>226</v>
      </c>
      <c r="Q58">
        <v>0</v>
      </c>
      <c r="R58">
        <v>6.0776099999999998E-3</v>
      </c>
      <c r="S58" t="s">
        <v>1394</v>
      </c>
      <c r="T58" t="s">
        <v>444</v>
      </c>
      <c r="V58" t="s">
        <v>194</v>
      </c>
      <c r="W58" t="s">
        <v>195</v>
      </c>
      <c r="X58" t="s">
        <v>196</v>
      </c>
      <c r="Y58" t="s">
        <v>197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 t="s">
        <v>198</v>
      </c>
    </row>
    <row r="59" spans="1:166" x14ac:dyDescent="0.3">
      <c r="A59" t="s">
        <v>360</v>
      </c>
      <c r="B59" t="s">
        <v>361</v>
      </c>
      <c r="C59" t="s">
        <v>198</v>
      </c>
      <c r="D59">
        <v>2021</v>
      </c>
      <c r="E59" t="s">
        <v>191</v>
      </c>
      <c r="F59">
        <v>7.3487200000000001</v>
      </c>
      <c r="G59">
        <v>3.8792900000000001</v>
      </c>
      <c r="H59" t="s">
        <v>166</v>
      </c>
      <c r="I59">
        <v>470</v>
      </c>
      <c r="J59" t="s">
        <v>166</v>
      </c>
      <c r="K59">
        <v>470</v>
      </c>
      <c r="L59" t="s">
        <v>167</v>
      </c>
      <c r="M59">
        <v>469</v>
      </c>
      <c r="N59" t="s">
        <v>167</v>
      </c>
      <c r="O59" t="s">
        <v>229</v>
      </c>
      <c r="P59" t="s">
        <v>362</v>
      </c>
      <c r="Q59">
        <v>0</v>
      </c>
      <c r="R59">
        <v>5.3134899999999997E-3</v>
      </c>
      <c r="S59" t="s">
        <v>1394</v>
      </c>
      <c r="T59" t="s">
        <v>444</v>
      </c>
      <c r="V59" t="s">
        <v>194</v>
      </c>
      <c r="W59" t="s">
        <v>195</v>
      </c>
      <c r="X59" t="s">
        <v>196</v>
      </c>
      <c r="Y59" t="s">
        <v>197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 t="s">
        <v>198</v>
      </c>
    </row>
    <row r="60" spans="1:166" x14ac:dyDescent="0.3">
      <c r="A60" t="s">
        <v>363</v>
      </c>
      <c r="B60" t="s">
        <v>364</v>
      </c>
      <c r="C60" t="s">
        <v>198</v>
      </c>
      <c r="D60">
        <v>2021</v>
      </c>
      <c r="E60" t="s">
        <v>191</v>
      </c>
      <c r="F60">
        <v>7.3487200000000001</v>
      </c>
      <c r="G60">
        <v>3.8792900000000001</v>
      </c>
      <c r="H60" t="s">
        <v>166</v>
      </c>
      <c r="I60">
        <v>470</v>
      </c>
      <c r="J60" t="s">
        <v>166</v>
      </c>
      <c r="K60">
        <v>470</v>
      </c>
      <c r="L60" t="s">
        <v>167</v>
      </c>
      <c r="M60">
        <v>469</v>
      </c>
      <c r="N60" t="s">
        <v>167</v>
      </c>
      <c r="O60" t="s">
        <v>237</v>
      </c>
      <c r="P60" t="s">
        <v>238</v>
      </c>
      <c r="Q60">
        <v>0</v>
      </c>
      <c r="R60">
        <v>2.8837400000000001E-3</v>
      </c>
      <c r="S60" t="s">
        <v>1394</v>
      </c>
      <c r="T60" t="s">
        <v>444</v>
      </c>
      <c r="V60" t="s">
        <v>194</v>
      </c>
      <c r="W60" t="s">
        <v>195</v>
      </c>
      <c r="X60" t="s">
        <v>196</v>
      </c>
      <c r="Y60" t="s">
        <v>197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821</v>
      </c>
    </row>
    <row r="61" spans="1:166" x14ac:dyDescent="0.3">
      <c r="A61" t="s">
        <v>365</v>
      </c>
      <c r="B61" t="s">
        <v>366</v>
      </c>
      <c r="C61" t="s">
        <v>198</v>
      </c>
      <c r="D61">
        <v>2021</v>
      </c>
      <c r="E61" t="s">
        <v>191</v>
      </c>
      <c r="F61">
        <v>7.3487200000000001</v>
      </c>
      <c r="G61">
        <v>3.8792900000000001</v>
      </c>
      <c r="H61" t="s">
        <v>166</v>
      </c>
      <c r="I61">
        <v>470</v>
      </c>
      <c r="J61" t="s">
        <v>166</v>
      </c>
      <c r="K61">
        <v>470</v>
      </c>
      <c r="L61" t="s">
        <v>167</v>
      </c>
      <c r="M61">
        <v>469</v>
      </c>
      <c r="N61" t="s">
        <v>167</v>
      </c>
      <c r="O61" t="s">
        <v>367</v>
      </c>
      <c r="P61" t="s">
        <v>368</v>
      </c>
      <c r="Q61">
        <v>0</v>
      </c>
      <c r="R61">
        <v>1.7358999999999999E-2</v>
      </c>
      <c r="V61" t="s">
        <v>194</v>
      </c>
      <c r="W61" t="s">
        <v>195</v>
      </c>
      <c r="X61" t="s">
        <v>196</v>
      </c>
      <c r="Y61" t="s">
        <v>197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2177</v>
      </c>
    </row>
    <row r="62" spans="1:166" x14ac:dyDescent="0.3">
      <c r="A62" t="s">
        <v>369</v>
      </c>
      <c r="B62" t="s">
        <v>370</v>
      </c>
      <c r="C62" t="s">
        <v>198</v>
      </c>
      <c r="D62">
        <v>2021</v>
      </c>
      <c r="E62" t="s">
        <v>191</v>
      </c>
      <c r="F62">
        <v>7.3487200000000001</v>
      </c>
      <c r="G62">
        <v>3.8792900000000001</v>
      </c>
      <c r="H62" t="s">
        <v>166</v>
      </c>
      <c r="I62">
        <v>470</v>
      </c>
      <c r="J62" t="s">
        <v>166</v>
      </c>
      <c r="K62">
        <v>470</v>
      </c>
      <c r="L62" t="s">
        <v>167</v>
      </c>
      <c r="M62">
        <v>469</v>
      </c>
      <c r="N62" t="s">
        <v>167</v>
      </c>
      <c r="O62" t="s">
        <v>371</v>
      </c>
      <c r="P62" t="s">
        <v>372</v>
      </c>
      <c r="Q62">
        <v>0</v>
      </c>
      <c r="R62">
        <v>1.58335E-2</v>
      </c>
      <c r="S62" t="s">
        <v>1394</v>
      </c>
      <c r="T62" t="s">
        <v>444</v>
      </c>
      <c r="V62" t="s">
        <v>194</v>
      </c>
      <c r="W62" t="s">
        <v>195</v>
      </c>
      <c r="X62" t="s">
        <v>196</v>
      </c>
      <c r="Y62" t="s">
        <v>197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 t="s">
        <v>198</v>
      </c>
    </row>
    <row r="63" spans="1:166" x14ac:dyDescent="0.3">
      <c r="A63" t="s">
        <v>373</v>
      </c>
      <c r="B63" t="s">
        <v>374</v>
      </c>
      <c r="C63" t="s">
        <v>198</v>
      </c>
      <c r="D63">
        <v>2022</v>
      </c>
      <c r="E63" t="s">
        <v>191</v>
      </c>
      <c r="F63">
        <v>7.3487200000000001</v>
      </c>
      <c r="G63">
        <v>3.8792900000000001</v>
      </c>
      <c r="H63" t="s">
        <v>166</v>
      </c>
      <c r="I63">
        <v>470</v>
      </c>
      <c r="J63" t="s">
        <v>166</v>
      </c>
      <c r="K63">
        <v>470</v>
      </c>
      <c r="L63" t="s">
        <v>167</v>
      </c>
      <c r="M63">
        <v>469</v>
      </c>
      <c r="N63" t="s">
        <v>167</v>
      </c>
      <c r="O63" t="s">
        <v>254</v>
      </c>
      <c r="P63" t="s">
        <v>375</v>
      </c>
      <c r="Q63">
        <v>0</v>
      </c>
      <c r="R63">
        <v>1.7327099999999999E-3</v>
      </c>
      <c r="S63" t="s">
        <v>1300</v>
      </c>
      <c r="T63" t="s">
        <v>444</v>
      </c>
      <c r="V63" t="s">
        <v>194</v>
      </c>
      <c r="W63" t="s">
        <v>195</v>
      </c>
      <c r="X63" t="s">
        <v>196</v>
      </c>
      <c r="Y63" t="s">
        <v>197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32</v>
      </c>
    </row>
    <row r="64" spans="1:166" x14ac:dyDescent="0.3">
      <c r="A64" t="s">
        <v>376</v>
      </c>
      <c r="B64" t="s">
        <v>377</v>
      </c>
      <c r="C64" t="s">
        <v>198</v>
      </c>
      <c r="D64">
        <v>2021</v>
      </c>
      <c r="E64" t="s">
        <v>191</v>
      </c>
      <c r="F64">
        <v>7.3487200000000001</v>
      </c>
      <c r="G64">
        <v>3.8792900000000001</v>
      </c>
      <c r="H64" t="s">
        <v>166</v>
      </c>
      <c r="I64">
        <v>470</v>
      </c>
      <c r="J64" t="s">
        <v>166</v>
      </c>
      <c r="K64">
        <v>470</v>
      </c>
      <c r="L64" t="s">
        <v>167</v>
      </c>
      <c r="M64">
        <v>469</v>
      </c>
      <c r="N64" t="s">
        <v>167</v>
      </c>
      <c r="O64" t="s">
        <v>192</v>
      </c>
      <c r="P64" t="s">
        <v>193</v>
      </c>
      <c r="Q64">
        <v>0</v>
      </c>
      <c r="R64">
        <v>1.54006E-2</v>
      </c>
      <c r="S64" t="s">
        <v>1394</v>
      </c>
      <c r="T64" t="s">
        <v>444</v>
      </c>
      <c r="V64" t="s">
        <v>194</v>
      </c>
      <c r="W64" t="s">
        <v>195</v>
      </c>
      <c r="X64" t="s">
        <v>196</v>
      </c>
      <c r="Y64" t="s">
        <v>197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 t="s">
        <v>198</v>
      </c>
    </row>
    <row r="65" spans="1:166" x14ac:dyDescent="0.3">
      <c r="A65" t="s">
        <v>378</v>
      </c>
      <c r="B65" t="s">
        <v>379</v>
      </c>
      <c r="C65" t="s">
        <v>198</v>
      </c>
      <c r="D65">
        <v>2021</v>
      </c>
      <c r="E65" t="s">
        <v>191</v>
      </c>
      <c r="F65">
        <v>7.3487200000000001</v>
      </c>
      <c r="G65">
        <v>3.8792900000000001</v>
      </c>
      <c r="H65" t="s">
        <v>166</v>
      </c>
      <c r="I65">
        <v>470</v>
      </c>
      <c r="J65" t="s">
        <v>166</v>
      </c>
      <c r="K65">
        <v>470</v>
      </c>
      <c r="L65" t="s">
        <v>167</v>
      </c>
      <c r="M65">
        <v>469</v>
      </c>
      <c r="N65" t="s">
        <v>167</v>
      </c>
      <c r="O65" t="s">
        <v>350</v>
      </c>
      <c r="P65" t="s">
        <v>351</v>
      </c>
      <c r="Q65">
        <v>0</v>
      </c>
      <c r="R65">
        <v>1.98862E-2</v>
      </c>
      <c r="S65" t="s">
        <v>1394</v>
      </c>
      <c r="T65" t="s">
        <v>444</v>
      </c>
      <c r="V65" t="s">
        <v>194</v>
      </c>
      <c r="W65" t="s">
        <v>195</v>
      </c>
      <c r="X65" t="s">
        <v>196</v>
      </c>
      <c r="Y65" t="s">
        <v>197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0</v>
      </c>
      <c r="FG65">
        <v>0</v>
      </c>
      <c r="FH65">
        <v>0</v>
      </c>
      <c r="FI65">
        <v>0</v>
      </c>
      <c r="FJ65" t="s">
        <v>198</v>
      </c>
    </row>
    <row r="66" spans="1:166" x14ac:dyDescent="0.3">
      <c r="A66" t="s">
        <v>380</v>
      </c>
      <c r="B66" t="s">
        <v>381</v>
      </c>
      <c r="C66" t="s">
        <v>198</v>
      </c>
      <c r="D66">
        <v>2022</v>
      </c>
      <c r="E66" t="s">
        <v>191</v>
      </c>
      <c r="F66">
        <v>7.3487200000000001</v>
      </c>
      <c r="G66">
        <v>3.8792900000000001</v>
      </c>
      <c r="H66" t="s">
        <v>166</v>
      </c>
      <c r="I66">
        <v>470</v>
      </c>
      <c r="J66" t="s">
        <v>166</v>
      </c>
      <c r="K66">
        <v>470</v>
      </c>
      <c r="L66" t="s">
        <v>167</v>
      </c>
      <c r="M66">
        <v>469</v>
      </c>
      <c r="N66" t="s">
        <v>167</v>
      </c>
      <c r="O66" t="s">
        <v>201</v>
      </c>
      <c r="P66" t="s">
        <v>382</v>
      </c>
      <c r="Q66">
        <v>0</v>
      </c>
      <c r="R66">
        <v>2.7706900000000001E-3</v>
      </c>
      <c r="V66" t="s">
        <v>194</v>
      </c>
      <c r="W66" t="s">
        <v>195</v>
      </c>
      <c r="X66" t="s">
        <v>196</v>
      </c>
      <c r="Y66" t="s">
        <v>197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221</v>
      </c>
    </row>
    <row r="67" spans="1:166" x14ac:dyDescent="0.3">
      <c r="A67" t="s">
        <v>383</v>
      </c>
      <c r="B67" t="s">
        <v>384</v>
      </c>
      <c r="C67" t="s">
        <v>198</v>
      </c>
      <c r="D67">
        <v>2022</v>
      </c>
      <c r="E67" t="s">
        <v>191</v>
      </c>
      <c r="F67">
        <v>7.3487200000000001</v>
      </c>
      <c r="G67">
        <v>3.8792900000000001</v>
      </c>
      <c r="H67" t="s">
        <v>166</v>
      </c>
      <c r="I67">
        <v>470</v>
      </c>
      <c r="J67" t="s">
        <v>166</v>
      </c>
      <c r="K67">
        <v>470</v>
      </c>
      <c r="L67" t="s">
        <v>167</v>
      </c>
      <c r="M67">
        <v>469</v>
      </c>
      <c r="N67" t="s">
        <v>167</v>
      </c>
      <c r="O67" t="s">
        <v>336</v>
      </c>
      <c r="P67" t="s">
        <v>385</v>
      </c>
      <c r="Q67">
        <v>0</v>
      </c>
      <c r="R67">
        <v>4.0568499999999999E-3</v>
      </c>
      <c r="V67" t="s">
        <v>194</v>
      </c>
      <c r="W67" t="s">
        <v>195</v>
      </c>
      <c r="X67" t="s">
        <v>196</v>
      </c>
      <c r="Y67" t="s">
        <v>197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10</v>
      </c>
    </row>
    <row r="68" spans="1:166" x14ac:dyDescent="0.3">
      <c r="A68" t="s">
        <v>386</v>
      </c>
      <c r="B68" t="s">
        <v>387</v>
      </c>
      <c r="C68" t="s">
        <v>198</v>
      </c>
      <c r="D68">
        <v>2021</v>
      </c>
      <c r="E68" t="s">
        <v>191</v>
      </c>
      <c r="F68">
        <v>7.3487200000000001</v>
      </c>
      <c r="G68">
        <v>3.8792900000000001</v>
      </c>
      <c r="H68" t="s">
        <v>166</v>
      </c>
      <c r="I68">
        <v>470</v>
      </c>
      <c r="J68" t="s">
        <v>166</v>
      </c>
      <c r="K68">
        <v>470</v>
      </c>
      <c r="L68" t="s">
        <v>167</v>
      </c>
      <c r="M68">
        <v>469</v>
      </c>
      <c r="N68" t="s">
        <v>167</v>
      </c>
      <c r="O68" t="s">
        <v>388</v>
      </c>
      <c r="P68" t="s">
        <v>270</v>
      </c>
      <c r="Q68">
        <v>0</v>
      </c>
      <c r="R68">
        <v>8.0049700000000001E-3</v>
      </c>
      <c r="S68" t="s">
        <v>1394</v>
      </c>
      <c r="T68" t="s">
        <v>444</v>
      </c>
      <c r="V68" t="s">
        <v>194</v>
      </c>
      <c r="W68" t="s">
        <v>195</v>
      </c>
      <c r="X68" t="s">
        <v>196</v>
      </c>
      <c r="Y68" t="s">
        <v>197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1464</v>
      </c>
    </row>
    <row r="69" spans="1:166" x14ac:dyDescent="0.3">
      <c r="A69" t="s">
        <v>389</v>
      </c>
      <c r="B69" t="s">
        <v>390</v>
      </c>
      <c r="C69" t="s">
        <v>198</v>
      </c>
      <c r="D69">
        <v>2021</v>
      </c>
      <c r="E69" t="s">
        <v>191</v>
      </c>
      <c r="F69">
        <v>7.3487200000000001</v>
      </c>
      <c r="G69">
        <v>3.8792900000000001</v>
      </c>
      <c r="H69" t="s">
        <v>166</v>
      </c>
      <c r="I69">
        <v>470</v>
      </c>
      <c r="J69" t="s">
        <v>166</v>
      </c>
      <c r="K69">
        <v>470</v>
      </c>
      <c r="L69" t="s">
        <v>167</v>
      </c>
      <c r="M69">
        <v>469</v>
      </c>
      <c r="N69" t="s">
        <v>167</v>
      </c>
      <c r="O69" t="s">
        <v>289</v>
      </c>
      <c r="P69" t="s">
        <v>391</v>
      </c>
      <c r="Q69">
        <v>0</v>
      </c>
      <c r="R69">
        <v>5.8191000000000004E-4</v>
      </c>
      <c r="V69" t="s">
        <v>194</v>
      </c>
      <c r="W69" t="s">
        <v>195</v>
      </c>
      <c r="X69" t="s">
        <v>196</v>
      </c>
      <c r="Y69" t="s">
        <v>197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1</v>
      </c>
    </row>
    <row r="70" spans="1:166" x14ac:dyDescent="0.3">
      <c r="A70" t="s">
        <v>392</v>
      </c>
      <c r="B70" t="s">
        <v>393</v>
      </c>
      <c r="C70" t="s">
        <v>198</v>
      </c>
      <c r="D70">
        <v>2021</v>
      </c>
      <c r="E70" t="s">
        <v>191</v>
      </c>
      <c r="F70">
        <v>7.3487200000000001</v>
      </c>
      <c r="G70">
        <v>3.8792900000000001</v>
      </c>
      <c r="H70" t="s">
        <v>166</v>
      </c>
      <c r="I70">
        <v>470</v>
      </c>
      <c r="J70" t="s">
        <v>166</v>
      </c>
      <c r="K70">
        <v>470</v>
      </c>
      <c r="L70" t="s">
        <v>167</v>
      </c>
      <c r="M70">
        <v>469</v>
      </c>
      <c r="N70" t="s">
        <v>167</v>
      </c>
      <c r="O70" t="s">
        <v>367</v>
      </c>
      <c r="P70" t="s">
        <v>394</v>
      </c>
      <c r="Q70">
        <v>0</v>
      </c>
      <c r="R70">
        <v>1.7300599999999999E-2</v>
      </c>
      <c r="V70" t="s">
        <v>194</v>
      </c>
      <c r="W70" t="s">
        <v>195</v>
      </c>
      <c r="X70" t="s">
        <v>196</v>
      </c>
      <c r="Y70" t="s">
        <v>197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2177</v>
      </c>
    </row>
    <row r="71" spans="1:166" x14ac:dyDescent="0.3">
      <c r="A71" t="s">
        <v>395</v>
      </c>
      <c r="B71" t="s">
        <v>396</v>
      </c>
      <c r="C71" t="s">
        <v>198</v>
      </c>
      <c r="D71">
        <v>2022</v>
      </c>
      <c r="E71" t="s">
        <v>191</v>
      </c>
      <c r="F71">
        <v>7.3487200000000001</v>
      </c>
      <c r="G71">
        <v>3.8792900000000001</v>
      </c>
      <c r="H71" t="s">
        <v>166</v>
      </c>
      <c r="I71">
        <v>470</v>
      </c>
      <c r="J71" t="s">
        <v>166</v>
      </c>
      <c r="K71">
        <v>470</v>
      </c>
      <c r="L71" t="s">
        <v>167</v>
      </c>
      <c r="M71">
        <v>469</v>
      </c>
      <c r="N71" t="s">
        <v>167</v>
      </c>
      <c r="O71" t="s">
        <v>329</v>
      </c>
      <c r="P71" t="s">
        <v>397</v>
      </c>
      <c r="Q71">
        <v>0</v>
      </c>
      <c r="R71">
        <v>1.28842E-3</v>
      </c>
      <c r="V71" t="s">
        <v>194</v>
      </c>
      <c r="W71" t="s">
        <v>195</v>
      </c>
      <c r="X71" t="s">
        <v>196</v>
      </c>
      <c r="Y71" t="s">
        <v>197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1</v>
      </c>
      <c r="EY71">
        <v>1</v>
      </c>
      <c r="EZ71">
        <v>0</v>
      </c>
      <c r="FA71">
        <v>1</v>
      </c>
      <c r="FB71">
        <v>0</v>
      </c>
      <c r="FC71">
        <v>1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149</v>
      </c>
    </row>
    <row r="72" spans="1:166" x14ac:dyDescent="0.3">
      <c r="A72" t="s">
        <v>398</v>
      </c>
      <c r="B72" t="s">
        <v>399</v>
      </c>
      <c r="C72" t="s">
        <v>198</v>
      </c>
      <c r="D72">
        <v>2022</v>
      </c>
      <c r="E72" t="s">
        <v>191</v>
      </c>
      <c r="F72">
        <v>7.3487200000000001</v>
      </c>
      <c r="G72">
        <v>3.8792900000000001</v>
      </c>
      <c r="H72" t="s">
        <v>166</v>
      </c>
      <c r="I72">
        <v>470</v>
      </c>
      <c r="J72" t="s">
        <v>166</v>
      </c>
      <c r="K72">
        <v>470</v>
      </c>
      <c r="L72" t="s">
        <v>167</v>
      </c>
      <c r="M72">
        <v>469</v>
      </c>
      <c r="N72" t="s">
        <v>167</v>
      </c>
      <c r="O72" t="s">
        <v>336</v>
      </c>
      <c r="P72" t="s">
        <v>400</v>
      </c>
      <c r="Q72">
        <v>0</v>
      </c>
      <c r="R72">
        <v>4.2704800000000001E-3</v>
      </c>
      <c r="V72" t="s">
        <v>194</v>
      </c>
      <c r="W72" t="s">
        <v>195</v>
      </c>
      <c r="X72" t="s">
        <v>196</v>
      </c>
      <c r="Y72" t="s">
        <v>197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10</v>
      </c>
    </row>
    <row r="73" spans="1:166" x14ac:dyDescent="0.3">
      <c r="A73" t="s">
        <v>401</v>
      </c>
      <c r="B73" t="s">
        <v>402</v>
      </c>
      <c r="C73" t="s">
        <v>198</v>
      </c>
      <c r="D73">
        <v>2022</v>
      </c>
      <c r="E73" t="s">
        <v>191</v>
      </c>
      <c r="F73">
        <v>7.3487200000000001</v>
      </c>
      <c r="G73">
        <v>3.8792900000000001</v>
      </c>
      <c r="H73" t="s">
        <v>166</v>
      </c>
      <c r="I73">
        <v>470</v>
      </c>
      <c r="J73" t="s">
        <v>166</v>
      </c>
      <c r="K73">
        <v>470</v>
      </c>
      <c r="L73" t="s">
        <v>167</v>
      </c>
      <c r="M73">
        <v>469</v>
      </c>
      <c r="N73" t="s">
        <v>167</v>
      </c>
      <c r="O73" t="s">
        <v>336</v>
      </c>
      <c r="P73" t="s">
        <v>403</v>
      </c>
      <c r="Q73">
        <v>0</v>
      </c>
      <c r="R73">
        <v>3.6372100000000001E-3</v>
      </c>
      <c r="V73" t="s">
        <v>194</v>
      </c>
      <c r="W73" t="s">
        <v>195</v>
      </c>
      <c r="X73" t="s">
        <v>196</v>
      </c>
      <c r="Y73" t="s">
        <v>197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10</v>
      </c>
    </row>
    <row r="74" spans="1:166" x14ac:dyDescent="0.3">
      <c r="A74" t="s">
        <v>404</v>
      </c>
      <c r="B74" t="s">
        <v>405</v>
      </c>
      <c r="C74" t="s">
        <v>198</v>
      </c>
      <c r="D74">
        <v>2022</v>
      </c>
      <c r="E74" t="s">
        <v>191</v>
      </c>
      <c r="F74">
        <v>7.3487200000000001</v>
      </c>
      <c r="G74">
        <v>3.8792900000000001</v>
      </c>
      <c r="H74" t="s">
        <v>166</v>
      </c>
      <c r="I74">
        <v>470</v>
      </c>
      <c r="J74" t="s">
        <v>166</v>
      </c>
      <c r="K74">
        <v>470</v>
      </c>
      <c r="L74" t="s">
        <v>167</v>
      </c>
      <c r="M74">
        <v>469</v>
      </c>
      <c r="N74" t="s">
        <v>167</v>
      </c>
      <c r="O74" t="s">
        <v>209</v>
      </c>
      <c r="P74" t="s">
        <v>406</v>
      </c>
      <c r="Q74">
        <v>0</v>
      </c>
      <c r="R74">
        <v>9.8187100000000005E-4</v>
      </c>
      <c r="V74" t="s">
        <v>194</v>
      </c>
      <c r="W74" t="s">
        <v>195</v>
      </c>
      <c r="X74" t="s">
        <v>196</v>
      </c>
      <c r="Y74" t="s">
        <v>197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409</v>
      </c>
    </row>
    <row r="75" spans="1:166" x14ac:dyDescent="0.3">
      <c r="A75" t="s">
        <v>407</v>
      </c>
      <c r="B75" t="s">
        <v>408</v>
      </c>
      <c r="C75" t="s">
        <v>198</v>
      </c>
      <c r="D75">
        <v>2021</v>
      </c>
      <c r="E75" t="s">
        <v>191</v>
      </c>
      <c r="F75">
        <v>7.3487200000000001</v>
      </c>
      <c r="G75">
        <v>3.8792900000000001</v>
      </c>
      <c r="H75" t="s">
        <v>166</v>
      </c>
      <c r="I75">
        <v>470</v>
      </c>
      <c r="J75" t="s">
        <v>166</v>
      </c>
      <c r="K75">
        <v>470</v>
      </c>
      <c r="L75" t="s">
        <v>167</v>
      </c>
      <c r="M75">
        <v>469</v>
      </c>
      <c r="N75" t="s">
        <v>167</v>
      </c>
      <c r="O75" t="s">
        <v>225</v>
      </c>
      <c r="P75" t="s">
        <v>409</v>
      </c>
      <c r="Q75">
        <v>0</v>
      </c>
      <c r="R75">
        <v>8.2696899999999997E-3</v>
      </c>
      <c r="S75" t="s">
        <v>1394</v>
      </c>
      <c r="T75" t="s">
        <v>444</v>
      </c>
      <c r="V75" t="s">
        <v>194</v>
      </c>
      <c r="W75" t="s">
        <v>195</v>
      </c>
      <c r="X75" t="s">
        <v>196</v>
      </c>
      <c r="Y75" t="s">
        <v>197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2029</v>
      </c>
    </row>
    <row r="76" spans="1:166" x14ac:dyDescent="0.3">
      <c r="A76" t="s">
        <v>410</v>
      </c>
      <c r="B76" t="s">
        <v>411</v>
      </c>
      <c r="C76" t="s">
        <v>198</v>
      </c>
      <c r="D76">
        <v>2021</v>
      </c>
      <c r="E76" t="s">
        <v>191</v>
      </c>
      <c r="F76">
        <v>7.3487200000000001</v>
      </c>
      <c r="G76">
        <v>3.8792900000000001</v>
      </c>
      <c r="H76" t="s">
        <v>166</v>
      </c>
      <c r="I76">
        <v>470</v>
      </c>
      <c r="J76" t="s">
        <v>166</v>
      </c>
      <c r="K76">
        <v>470</v>
      </c>
      <c r="L76" t="s">
        <v>167</v>
      </c>
      <c r="M76">
        <v>469</v>
      </c>
      <c r="N76" t="s">
        <v>167</v>
      </c>
      <c r="O76" t="s">
        <v>412</v>
      </c>
      <c r="P76" t="s">
        <v>270</v>
      </c>
      <c r="Q76">
        <v>0</v>
      </c>
      <c r="R76">
        <v>8.0049700000000001E-3</v>
      </c>
      <c r="S76" t="s">
        <v>1394</v>
      </c>
      <c r="T76" t="s">
        <v>444</v>
      </c>
      <c r="V76" t="s">
        <v>194</v>
      </c>
      <c r="W76" t="s">
        <v>195</v>
      </c>
      <c r="X76" t="s">
        <v>196</v>
      </c>
      <c r="Y76" t="s">
        <v>197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2199</v>
      </c>
    </row>
    <row r="77" spans="1:166" x14ac:dyDescent="0.3">
      <c r="A77" t="s">
        <v>413</v>
      </c>
      <c r="B77" t="s">
        <v>414</v>
      </c>
      <c r="C77" t="s">
        <v>198</v>
      </c>
      <c r="D77">
        <v>2021</v>
      </c>
      <c r="E77" t="s">
        <v>191</v>
      </c>
      <c r="F77">
        <v>7.3487200000000001</v>
      </c>
      <c r="G77">
        <v>3.8792900000000001</v>
      </c>
      <c r="H77" t="s">
        <v>166</v>
      </c>
      <c r="I77">
        <v>470</v>
      </c>
      <c r="J77" t="s">
        <v>166</v>
      </c>
      <c r="K77">
        <v>470</v>
      </c>
      <c r="L77" t="s">
        <v>167</v>
      </c>
      <c r="M77">
        <v>469</v>
      </c>
      <c r="N77" t="s">
        <v>167</v>
      </c>
      <c r="O77" t="s">
        <v>225</v>
      </c>
      <c r="P77" t="s">
        <v>415</v>
      </c>
      <c r="Q77">
        <v>0</v>
      </c>
      <c r="R77">
        <v>6.0098900000000004E-3</v>
      </c>
      <c r="S77" t="s">
        <v>1394</v>
      </c>
      <c r="T77" t="s">
        <v>444</v>
      </c>
      <c r="V77" t="s">
        <v>194</v>
      </c>
      <c r="W77" t="s">
        <v>195</v>
      </c>
      <c r="X77" t="s">
        <v>196</v>
      </c>
      <c r="Y77" t="s">
        <v>197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1828</v>
      </c>
    </row>
    <row r="78" spans="1:166" x14ac:dyDescent="0.3">
      <c r="A78" t="s">
        <v>416</v>
      </c>
      <c r="B78" t="s">
        <v>417</v>
      </c>
      <c r="C78" t="s">
        <v>198</v>
      </c>
      <c r="D78">
        <v>2021</v>
      </c>
      <c r="E78" t="s">
        <v>191</v>
      </c>
      <c r="F78">
        <v>7.3487200000000001</v>
      </c>
      <c r="G78">
        <v>3.8792900000000001</v>
      </c>
      <c r="H78" t="s">
        <v>166</v>
      </c>
      <c r="I78">
        <v>470</v>
      </c>
      <c r="J78" t="s">
        <v>166</v>
      </c>
      <c r="K78">
        <v>470</v>
      </c>
      <c r="L78" t="s">
        <v>167</v>
      </c>
      <c r="M78">
        <v>469</v>
      </c>
      <c r="N78" t="s">
        <v>167</v>
      </c>
      <c r="O78" t="s">
        <v>229</v>
      </c>
      <c r="P78" t="s">
        <v>418</v>
      </c>
      <c r="Q78">
        <v>0</v>
      </c>
      <c r="R78">
        <v>5.4769199999999997E-3</v>
      </c>
      <c r="S78" t="s">
        <v>1394</v>
      </c>
      <c r="T78" t="s">
        <v>444</v>
      </c>
      <c r="V78" t="s">
        <v>194</v>
      </c>
      <c r="W78" t="s">
        <v>195</v>
      </c>
      <c r="X78" t="s">
        <v>196</v>
      </c>
      <c r="Y78" t="s">
        <v>197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 t="s">
        <v>198</v>
      </c>
    </row>
    <row r="79" spans="1:166" x14ac:dyDescent="0.3">
      <c r="A79" t="s">
        <v>419</v>
      </c>
      <c r="B79" t="s">
        <v>420</v>
      </c>
      <c r="C79" t="s">
        <v>198</v>
      </c>
      <c r="D79">
        <v>2021</v>
      </c>
      <c r="E79" t="s">
        <v>191</v>
      </c>
      <c r="F79">
        <v>7.3487200000000001</v>
      </c>
      <c r="G79">
        <v>3.8792900000000001</v>
      </c>
      <c r="H79" t="s">
        <v>166</v>
      </c>
      <c r="I79">
        <v>470</v>
      </c>
      <c r="J79" t="s">
        <v>166</v>
      </c>
      <c r="K79">
        <v>470</v>
      </c>
      <c r="L79" t="s">
        <v>167</v>
      </c>
      <c r="M79">
        <v>469</v>
      </c>
      <c r="N79" t="s">
        <v>167</v>
      </c>
      <c r="O79" t="s">
        <v>229</v>
      </c>
      <c r="P79" t="s">
        <v>418</v>
      </c>
      <c r="Q79">
        <v>0</v>
      </c>
      <c r="R79">
        <v>5.4769199999999997E-3</v>
      </c>
      <c r="S79" t="s">
        <v>1394</v>
      </c>
      <c r="T79" t="s">
        <v>444</v>
      </c>
      <c r="V79" t="s">
        <v>194</v>
      </c>
      <c r="W79" t="s">
        <v>195</v>
      </c>
      <c r="X79" t="s">
        <v>196</v>
      </c>
      <c r="Y79" t="s">
        <v>197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 t="s">
        <v>198</v>
      </c>
    </row>
    <row r="80" spans="1:166" x14ac:dyDescent="0.3">
      <c r="A80" t="s">
        <v>421</v>
      </c>
      <c r="B80" t="s">
        <v>422</v>
      </c>
      <c r="C80" t="s">
        <v>198</v>
      </c>
      <c r="D80">
        <v>2021</v>
      </c>
      <c r="E80" t="s">
        <v>191</v>
      </c>
      <c r="F80">
        <v>7.3487200000000001</v>
      </c>
      <c r="G80">
        <v>3.8792900000000001</v>
      </c>
      <c r="H80" t="s">
        <v>166</v>
      </c>
      <c r="I80">
        <v>470</v>
      </c>
      <c r="J80" t="s">
        <v>166</v>
      </c>
      <c r="K80">
        <v>470</v>
      </c>
      <c r="L80" t="s">
        <v>167</v>
      </c>
      <c r="M80">
        <v>469</v>
      </c>
      <c r="N80" t="s">
        <v>167</v>
      </c>
      <c r="O80" t="s">
        <v>229</v>
      </c>
      <c r="P80" t="s">
        <v>230</v>
      </c>
      <c r="Q80">
        <v>0</v>
      </c>
      <c r="R80">
        <v>5.3460599999999997E-3</v>
      </c>
      <c r="S80" t="s">
        <v>1394</v>
      </c>
      <c r="T80" t="s">
        <v>444</v>
      </c>
      <c r="V80" t="s">
        <v>194</v>
      </c>
      <c r="W80" t="s">
        <v>195</v>
      </c>
      <c r="X80" t="s">
        <v>196</v>
      </c>
      <c r="Y80" t="s">
        <v>197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 t="s">
        <v>198</v>
      </c>
    </row>
    <row r="81" spans="1:166" x14ac:dyDescent="0.3">
      <c r="A81" t="s">
        <v>423</v>
      </c>
      <c r="B81" t="s">
        <v>424</v>
      </c>
      <c r="C81" t="s">
        <v>198</v>
      </c>
      <c r="D81">
        <v>2021</v>
      </c>
      <c r="E81" t="s">
        <v>191</v>
      </c>
      <c r="F81">
        <v>7.3487200000000001</v>
      </c>
      <c r="G81">
        <v>3.8792900000000001</v>
      </c>
      <c r="H81" t="s">
        <v>166</v>
      </c>
      <c r="I81">
        <v>470</v>
      </c>
      <c r="J81" t="s">
        <v>166</v>
      </c>
      <c r="K81">
        <v>470</v>
      </c>
      <c r="L81" t="s">
        <v>167</v>
      </c>
      <c r="M81">
        <v>469</v>
      </c>
      <c r="N81" t="s">
        <v>167</v>
      </c>
      <c r="O81" t="s">
        <v>425</v>
      </c>
      <c r="P81" t="s">
        <v>426</v>
      </c>
      <c r="Q81">
        <v>0</v>
      </c>
      <c r="R81">
        <v>1.41786E-3</v>
      </c>
      <c r="S81" t="s">
        <v>1394</v>
      </c>
      <c r="T81" t="s">
        <v>444</v>
      </c>
      <c r="V81" t="s">
        <v>194</v>
      </c>
      <c r="W81" t="s">
        <v>195</v>
      </c>
      <c r="X81" t="s">
        <v>196</v>
      </c>
      <c r="Y81" t="s">
        <v>197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32</v>
      </c>
    </row>
    <row r="82" spans="1:166" x14ac:dyDescent="0.3">
      <c r="A82" t="s">
        <v>427</v>
      </c>
      <c r="B82" t="s">
        <v>428</v>
      </c>
      <c r="C82" t="s">
        <v>198</v>
      </c>
      <c r="D82">
        <v>2021</v>
      </c>
      <c r="E82" t="s">
        <v>191</v>
      </c>
      <c r="F82">
        <v>7.3487200000000001</v>
      </c>
      <c r="G82">
        <v>3.8792900000000001</v>
      </c>
      <c r="H82" t="s">
        <v>166</v>
      </c>
      <c r="I82">
        <v>470</v>
      </c>
      <c r="J82" t="s">
        <v>166</v>
      </c>
      <c r="K82">
        <v>470</v>
      </c>
      <c r="L82" t="s">
        <v>167</v>
      </c>
      <c r="M82">
        <v>469</v>
      </c>
      <c r="N82" t="s">
        <v>167</v>
      </c>
      <c r="O82" t="s">
        <v>429</v>
      </c>
      <c r="P82" t="s">
        <v>430</v>
      </c>
      <c r="Q82">
        <v>0</v>
      </c>
      <c r="R82">
        <v>3.2274199999999999E-3</v>
      </c>
      <c r="S82" t="s">
        <v>1394</v>
      </c>
      <c r="T82" t="s">
        <v>444</v>
      </c>
      <c r="V82" t="s">
        <v>194</v>
      </c>
      <c r="W82" t="s">
        <v>195</v>
      </c>
      <c r="X82" t="s">
        <v>196</v>
      </c>
      <c r="Y82" t="s">
        <v>197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203</v>
      </c>
    </row>
    <row r="83" spans="1:166" x14ac:dyDescent="0.3">
      <c r="A83" t="s">
        <v>431</v>
      </c>
      <c r="B83" t="s">
        <v>432</v>
      </c>
      <c r="C83" t="s">
        <v>198</v>
      </c>
      <c r="D83">
        <v>2021</v>
      </c>
      <c r="E83" t="s">
        <v>191</v>
      </c>
      <c r="F83">
        <v>7.3487200000000001</v>
      </c>
      <c r="G83">
        <v>3.8792900000000001</v>
      </c>
      <c r="H83" t="s">
        <v>166</v>
      </c>
      <c r="I83">
        <v>470</v>
      </c>
      <c r="J83" t="s">
        <v>166</v>
      </c>
      <c r="K83">
        <v>470</v>
      </c>
      <c r="L83" t="s">
        <v>167</v>
      </c>
      <c r="M83">
        <v>469</v>
      </c>
      <c r="N83" t="s">
        <v>167</v>
      </c>
      <c r="O83" t="s">
        <v>254</v>
      </c>
      <c r="P83" t="s">
        <v>433</v>
      </c>
      <c r="Q83">
        <v>0</v>
      </c>
      <c r="R83">
        <v>1.23693E-3</v>
      </c>
      <c r="S83" t="s">
        <v>1394</v>
      </c>
      <c r="T83" t="s">
        <v>444</v>
      </c>
      <c r="V83" t="s">
        <v>194</v>
      </c>
      <c r="W83" t="s">
        <v>195</v>
      </c>
      <c r="X83" t="s">
        <v>196</v>
      </c>
      <c r="Y83" t="s">
        <v>197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32</v>
      </c>
    </row>
    <row r="84" spans="1:166" x14ac:dyDescent="0.3">
      <c r="A84" t="s">
        <v>434</v>
      </c>
      <c r="B84" t="s">
        <v>435</v>
      </c>
      <c r="C84" t="s">
        <v>198</v>
      </c>
      <c r="D84">
        <v>2021</v>
      </c>
      <c r="E84" t="s">
        <v>191</v>
      </c>
      <c r="F84">
        <v>7.3487200000000001</v>
      </c>
      <c r="G84">
        <v>3.8792900000000001</v>
      </c>
      <c r="H84" t="s">
        <v>166</v>
      </c>
      <c r="I84">
        <v>470</v>
      </c>
      <c r="J84" t="s">
        <v>166</v>
      </c>
      <c r="K84">
        <v>470</v>
      </c>
      <c r="L84" t="s">
        <v>167</v>
      </c>
      <c r="M84">
        <v>469</v>
      </c>
      <c r="N84" t="s">
        <v>167</v>
      </c>
      <c r="O84" t="s">
        <v>254</v>
      </c>
      <c r="P84" t="s">
        <v>210</v>
      </c>
      <c r="Q84">
        <v>0</v>
      </c>
      <c r="R84">
        <v>1.2626499999999999E-3</v>
      </c>
      <c r="S84" t="s">
        <v>1394</v>
      </c>
      <c r="T84" t="s">
        <v>444</v>
      </c>
      <c r="V84" t="s">
        <v>194</v>
      </c>
      <c r="W84" t="s">
        <v>195</v>
      </c>
      <c r="X84" t="s">
        <v>196</v>
      </c>
      <c r="Y84" t="s">
        <v>197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32</v>
      </c>
    </row>
    <row r="85" spans="1:166" x14ac:dyDescent="0.3">
      <c r="A85" t="s">
        <v>436</v>
      </c>
      <c r="B85" t="s">
        <v>437</v>
      </c>
      <c r="C85" t="s">
        <v>198</v>
      </c>
      <c r="D85">
        <v>2021</v>
      </c>
      <c r="E85" t="s">
        <v>191</v>
      </c>
      <c r="F85">
        <v>7.3487200000000001</v>
      </c>
      <c r="G85">
        <v>3.8792900000000001</v>
      </c>
      <c r="H85" t="s">
        <v>166</v>
      </c>
      <c r="I85">
        <v>470</v>
      </c>
      <c r="J85" t="s">
        <v>166</v>
      </c>
      <c r="K85">
        <v>470</v>
      </c>
      <c r="L85" t="s">
        <v>167</v>
      </c>
      <c r="M85">
        <v>469</v>
      </c>
      <c r="N85" t="s">
        <v>167</v>
      </c>
      <c r="O85" t="s">
        <v>371</v>
      </c>
      <c r="P85" t="s">
        <v>438</v>
      </c>
      <c r="Q85">
        <v>0</v>
      </c>
      <c r="R85">
        <v>1.6053100000000001E-2</v>
      </c>
      <c r="S85" t="s">
        <v>1394</v>
      </c>
      <c r="T85" t="s">
        <v>444</v>
      </c>
      <c r="V85" t="s">
        <v>194</v>
      </c>
      <c r="W85" t="s">
        <v>195</v>
      </c>
      <c r="X85" t="s">
        <v>196</v>
      </c>
      <c r="Y85" t="s">
        <v>197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2215</v>
      </c>
    </row>
    <row r="86" spans="1:166" x14ac:dyDescent="0.3">
      <c r="A86" t="s">
        <v>439</v>
      </c>
      <c r="B86" t="s">
        <v>440</v>
      </c>
      <c r="C86" t="s">
        <v>1400</v>
      </c>
      <c r="D86">
        <v>2017</v>
      </c>
      <c r="E86" t="s">
        <v>441</v>
      </c>
      <c r="F86">
        <v>-33.913809999999998</v>
      </c>
      <c r="G86">
        <v>18.614446999999998</v>
      </c>
      <c r="H86" t="s">
        <v>166</v>
      </c>
      <c r="I86">
        <v>470</v>
      </c>
      <c r="J86" t="s">
        <v>166</v>
      </c>
      <c r="K86">
        <v>470</v>
      </c>
      <c r="L86" t="s">
        <v>167</v>
      </c>
      <c r="M86">
        <v>469</v>
      </c>
      <c r="N86" t="s">
        <v>167</v>
      </c>
      <c r="O86" t="s">
        <v>442</v>
      </c>
      <c r="P86" t="s">
        <v>443</v>
      </c>
      <c r="Q86">
        <v>0</v>
      </c>
      <c r="R86">
        <v>0</v>
      </c>
      <c r="S86" t="s">
        <v>1289</v>
      </c>
      <c r="T86" t="s">
        <v>444</v>
      </c>
      <c r="V86" t="s">
        <v>445</v>
      </c>
      <c r="W86" t="s">
        <v>446</v>
      </c>
      <c r="X86" t="s">
        <v>447</v>
      </c>
      <c r="Y86" t="s">
        <v>448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1</v>
      </c>
      <c r="EZ86">
        <v>0</v>
      </c>
      <c r="FA86">
        <v>0</v>
      </c>
      <c r="FB86">
        <v>1</v>
      </c>
      <c r="FC86">
        <v>1</v>
      </c>
      <c r="FD86">
        <v>1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</row>
    <row r="87" spans="1:166" x14ac:dyDescent="0.3">
      <c r="A87" t="s">
        <v>449</v>
      </c>
      <c r="B87" t="s">
        <v>450</v>
      </c>
      <c r="C87" t="s">
        <v>1400</v>
      </c>
      <c r="D87">
        <v>2017</v>
      </c>
      <c r="E87" t="s">
        <v>441</v>
      </c>
      <c r="F87">
        <v>-33.913809999999998</v>
      </c>
      <c r="G87">
        <v>18.614446999999998</v>
      </c>
      <c r="H87" t="s">
        <v>166</v>
      </c>
      <c r="I87">
        <v>470</v>
      </c>
      <c r="J87" t="s">
        <v>166</v>
      </c>
      <c r="K87">
        <v>470</v>
      </c>
      <c r="L87" t="s">
        <v>167</v>
      </c>
      <c r="M87">
        <v>469</v>
      </c>
      <c r="N87" t="s">
        <v>167</v>
      </c>
      <c r="O87" t="s">
        <v>451</v>
      </c>
      <c r="P87" t="s">
        <v>443</v>
      </c>
      <c r="Q87">
        <v>0</v>
      </c>
      <c r="R87">
        <v>0</v>
      </c>
      <c r="S87" t="s">
        <v>1289</v>
      </c>
      <c r="T87" t="s">
        <v>444</v>
      </c>
      <c r="V87" t="s">
        <v>445</v>
      </c>
      <c r="W87" t="s">
        <v>446</v>
      </c>
      <c r="X87" t="s">
        <v>447</v>
      </c>
      <c r="Y87" t="s">
        <v>448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1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</v>
      </c>
      <c r="EZ87">
        <v>0</v>
      </c>
      <c r="FA87">
        <v>0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0</v>
      </c>
      <c r="FI87">
        <v>0</v>
      </c>
      <c r="FJ87">
        <v>1</v>
      </c>
    </row>
    <row r="88" spans="1:166" x14ac:dyDescent="0.3">
      <c r="A88" t="s">
        <v>452</v>
      </c>
      <c r="B88" t="s">
        <v>453</v>
      </c>
      <c r="C88" t="s">
        <v>1400</v>
      </c>
      <c r="D88">
        <v>2017</v>
      </c>
      <c r="E88" t="s">
        <v>441</v>
      </c>
      <c r="F88">
        <v>-33.913809999999998</v>
      </c>
      <c r="G88">
        <v>18.614446999999998</v>
      </c>
      <c r="H88" t="s">
        <v>166</v>
      </c>
      <c r="I88">
        <v>470</v>
      </c>
      <c r="J88" t="s">
        <v>166</v>
      </c>
      <c r="K88">
        <v>470</v>
      </c>
      <c r="L88" t="s">
        <v>167</v>
      </c>
      <c r="M88">
        <v>469</v>
      </c>
      <c r="N88" t="s">
        <v>167</v>
      </c>
      <c r="O88" t="s">
        <v>442</v>
      </c>
      <c r="P88" t="s">
        <v>443</v>
      </c>
      <c r="Q88">
        <v>0</v>
      </c>
      <c r="R88">
        <v>0</v>
      </c>
      <c r="S88" t="s">
        <v>1289</v>
      </c>
      <c r="T88" t="s">
        <v>444</v>
      </c>
      <c r="V88" t="s">
        <v>445</v>
      </c>
      <c r="W88" t="s">
        <v>446</v>
      </c>
      <c r="X88" t="s">
        <v>447</v>
      </c>
      <c r="Y88" t="s">
        <v>448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0</v>
      </c>
      <c r="FA88">
        <v>0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1</v>
      </c>
    </row>
    <row r="89" spans="1:166" x14ac:dyDescent="0.3">
      <c r="A89" t="s">
        <v>454</v>
      </c>
      <c r="B89" t="s">
        <v>455</v>
      </c>
      <c r="C89" t="s">
        <v>1400</v>
      </c>
      <c r="D89">
        <v>2017</v>
      </c>
      <c r="E89" t="s">
        <v>441</v>
      </c>
      <c r="F89">
        <v>-33.913809999999998</v>
      </c>
      <c r="G89">
        <v>18.614446999999998</v>
      </c>
      <c r="H89" t="s">
        <v>166</v>
      </c>
      <c r="I89">
        <v>470</v>
      </c>
      <c r="J89" t="s">
        <v>166</v>
      </c>
      <c r="K89">
        <v>470</v>
      </c>
      <c r="L89" t="s">
        <v>167</v>
      </c>
      <c r="M89">
        <v>469</v>
      </c>
      <c r="N89" t="s">
        <v>167</v>
      </c>
      <c r="O89" t="s">
        <v>442</v>
      </c>
      <c r="P89" t="s">
        <v>456</v>
      </c>
      <c r="Q89">
        <v>0</v>
      </c>
      <c r="R89" s="1" t="s">
        <v>457</v>
      </c>
      <c r="S89" t="s">
        <v>1289</v>
      </c>
      <c r="T89" t="s">
        <v>444</v>
      </c>
      <c r="V89" t="s">
        <v>445</v>
      </c>
      <c r="W89" t="s">
        <v>446</v>
      </c>
      <c r="X89" t="s">
        <v>447</v>
      </c>
      <c r="Y89" t="s">
        <v>448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1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1</v>
      </c>
      <c r="FC89">
        <v>1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</row>
    <row r="90" spans="1:166" x14ac:dyDescent="0.3">
      <c r="A90" t="s">
        <v>458</v>
      </c>
      <c r="B90" t="s">
        <v>459</v>
      </c>
      <c r="E90" t="s">
        <v>460</v>
      </c>
      <c r="F90">
        <v>32</v>
      </c>
      <c r="G90">
        <v>-6</v>
      </c>
      <c r="H90" t="s">
        <v>166</v>
      </c>
      <c r="I90">
        <v>470</v>
      </c>
      <c r="J90" t="s">
        <v>166</v>
      </c>
      <c r="K90">
        <v>470</v>
      </c>
      <c r="L90" t="s">
        <v>167</v>
      </c>
      <c r="M90">
        <v>469</v>
      </c>
      <c r="N90" t="s">
        <v>167</v>
      </c>
      <c r="O90" t="s">
        <v>461</v>
      </c>
      <c r="P90" t="s">
        <v>462</v>
      </c>
      <c r="Q90">
        <v>0</v>
      </c>
      <c r="R90">
        <v>2.0806499999999999E-3</v>
      </c>
      <c r="T90" t="s">
        <v>444</v>
      </c>
      <c r="V90" t="s">
        <v>1393</v>
      </c>
      <c r="W90" t="s">
        <v>1347</v>
      </c>
      <c r="Y90" t="s">
        <v>463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10</v>
      </c>
    </row>
    <row r="91" spans="1:166" x14ac:dyDescent="0.3">
      <c r="A91" t="s">
        <v>464</v>
      </c>
      <c r="B91" t="s">
        <v>465</v>
      </c>
      <c r="E91" t="s">
        <v>460</v>
      </c>
      <c r="F91">
        <v>32</v>
      </c>
      <c r="G91">
        <v>-6</v>
      </c>
      <c r="H91" t="s">
        <v>166</v>
      </c>
      <c r="I91">
        <v>470</v>
      </c>
      <c r="J91" t="s">
        <v>166</v>
      </c>
      <c r="K91">
        <v>470</v>
      </c>
      <c r="L91" t="s">
        <v>167</v>
      </c>
      <c r="M91">
        <v>469</v>
      </c>
      <c r="N91" t="s">
        <v>167</v>
      </c>
      <c r="O91" t="s">
        <v>466</v>
      </c>
      <c r="P91" t="s">
        <v>467</v>
      </c>
      <c r="Q91">
        <v>0</v>
      </c>
      <c r="R91">
        <v>2.8831000000000001E-4</v>
      </c>
      <c r="T91" t="s">
        <v>444</v>
      </c>
      <c r="V91" t="s">
        <v>1393</v>
      </c>
      <c r="W91" t="s">
        <v>1347</v>
      </c>
      <c r="Y91" t="s">
        <v>463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2</v>
      </c>
    </row>
    <row r="92" spans="1:166" x14ac:dyDescent="0.3">
      <c r="A92" t="s">
        <v>468</v>
      </c>
      <c r="B92" t="s">
        <v>469</v>
      </c>
      <c r="E92" t="s">
        <v>460</v>
      </c>
      <c r="F92">
        <v>32</v>
      </c>
      <c r="G92">
        <v>-6</v>
      </c>
      <c r="H92" t="s">
        <v>166</v>
      </c>
      <c r="I92">
        <v>470</v>
      </c>
      <c r="J92" t="s">
        <v>166</v>
      </c>
      <c r="K92">
        <v>470</v>
      </c>
      <c r="L92" t="s">
        <v>167</v>
      </c>
      <c r="M92">
        <v>469</v>
      </c>
      <c r="N92" t="s">
        <v>167</v>
      </c>
      <c r="O92" t="s">
        <v>470</v>
      </c>
      <c r="P92" t="s">
        <v>471</v>
      </c>
      <c r="Q92">
        <v>0</v>
      </c>
      <c r="R92">
        <v>3.36872E-4</v>
      </c>
      <c r="T92" t="s">
        <v>444</v>
      </c>
      <c r="V92" t="s">
        <v>1393</v>
      </c>
      <c r="W92" t="s">
        <v>1347</v>
      </c>
      <c r="Y92" t="s">
        <v>463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0</v>
      </c>
      <c r="FA92">
        <v>1</v>
      </c>
      <c r="FB92">
        <v>0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2</v>
      </c>
    </row>
    <row r="93" spans="1:166" x14ac:dyDescent="0.3">
      <c r="A93" t="s">
        <v>472</v>
      </c>
      <c r="B93" t="s">
        <v>473</v>
      </c>
      <c r="E93" t="s">
        <v>460</v>
      </c>
      <c r="F93">
        <v>26</v>
      </c>
      <c r="G93">
        <v>29</v>
      </c>
      <c r="H93" t="s">
        <v>166</v>
      </c>
      <c r="I93">
        <v>470</v>
      </c>
      <c r="J93" t="s">
        <v>166</v>
      </c>
      <c r="K93">
        <v>470</v>
      </c>
      <c r="L93" t="s">
        <v>167</v>
      </c>
      <c r="M93">
        <v>469</v>
      </c>
      <c r="N93" t="s">
        <v>167</v>
      </c>
      <c r="O93" t="s">
        <v>474</v>
      </c>
      <c r="P93" t="s">
        <v>475</v>
      </c>
      <c r="Q93">
        <v>0</v>
      </c>
      <c r="R93">
        <v>2.2437099999999999E-3</v>
      </c>
      <c r="T93" t="s">
        <v>444</v>
      </c>
      <c r="V93" t="s">
        <v>1393</v>
      </c>
      <c r="W93" t="s">
        <v>1347</v>
      </c>
      <c r="Y93" t="s">
        <v>476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1</v>
      </c>
      <c r="FB93">
        <v>0</v>
      </c>
      <c r="FC93">
        <v>1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2</v>
      </c>
    </row>
    <row r="94" spans="1:166" x14ac:dyDescent="0.3">
      <c r="A94" t="s">
        <v>477</v>
      </c>
      <c r="B94" t="s">
        <v>478</v>
      </c>
      <c r="E94" t="s">
        <v>479</v>
      </c>
      <c r="F94">
        <v>9.0819989999999997</v>
      </c>
      <c r="G94">
        <v>8.6752769999999995</v>
      </c>
      <c r="H94" t="s">
        <v>166</v>
      </c>
      <c r="I94">
        <v>470</v>
      </c>
      <c r="J94" t="s">
        <v>166</v>
      </c>
      <c r="K94">
        <v>470</v>
      </c>
      <c r="L94" t="s">
        <v>167</v>
      </c>
      <c r="M94">
        <v>469</v>
      </c>
      <c r="N94" t="s">
        <v>167</v>
      </c>
      <c r="O94" t="s">
        <v>480</v>
      </c>
      <c r="P94" t="s">
        <v>481</v>
      </c>
      <c r="Q94">
        <v>0</v>
      </c>
      <c r="R94">
        <v>1.89299E-2</v>
      </c>
      <c r="V94" t="s">
        <v>482</v>
      </c>
      <c r="W94" t="s">
        <v>483</v>
      </c>
      <c r="Y94" t="s">
        <v>197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0</v>
      </c>
      <c r="FC94">
        <v>1</v>
      </c>
      <c r="FD94">
        <v>1</v>
      </c>
      <c r="FE94">
        <v>0</v>
      </c>
      <c r="FF94">
        <v>0</v>
      </c>
      <c r="FG94">
        <v>1</v>
      </c>
      <c r="FH94">
        <v>0</v>
      </c>
      <c r="FI94">
        <v>0</v>
      </c>
      <c r="FJ94" t="s">
        <v>198</v>
      </c>
    </row>
    <row r="95" spans="1:166" x14ac:dyDescent="0.3">
      <c r="A95" t="s">
        <v>484</v>
      </c>
      <c r="B95" t="s">
        <v>485</v>
      </c>
      <c r="E95" t="s">
        <v>479</v>
      </c>
      <c r="F95">
        <v>9.0819989999999997</v>
      </c>
      <c r="G95">
        <v>8.6752769999999995</v>
      </c>
      <c r="H95" t="s">
        <v>166</v>
      </c>
      <c r="I95">
        <v>470</v>
      </c>
      <c r="J95" t="s">
        <v>166</v>
      </c>
      <c r="K95">
        <v>470</v>
      </c>
      <c r="L95" t="s">
        <v>167</v>
      </c>
      <c r="M95">
        <v>469</v>
      </c>
      <c r="N95" t="s">
        <v>167</v>
      </c>
      <c r="O95" t="s">
        <v>486</v>
      </c>
      <c r="P95" t="s">
        <v>487</v>
      </c>
      <c r="Q95">
        <v>0</v>
      </c>
      <c r="R95">
        <v>4.64278E-3</v>
      </c>
      <c r="V95" t="s">
        <v>482</v>
      </c>
      <c r="W95" t="s">
        <v>483</v>
      </c>
      <c r="Y95" t="s">
        <v>197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1093</v>
      </c>
    </row>
    <row r="96" spans="1:166" x14ac:dyDescent="0.3">
      <c r="A96" t="s">
        <v>488</v>
      </c>
      <c r="B96" t="s">
        <v>489</v>
      </c>
      <c r="E96" t="s">
        <v>479</v>
      </c>
      <c r="F96">
        <v>9.0819989999999997</v>
      </c>
      <c r="G96">
        <v>8.6752769999999995</v>
      </c>
      <c r="H96" t="s">
        <v>166</v>
      </c>
      <c r="I96">
        <v>470</v>
      </c>
      <c r="J96" t="s">
        <v>166</v>
      </c>
      <c r="K96">
        <v>470</v>
      </c>
      <c r="L96" t="s">
        <v>167</v>
      </c>
      <c r="M96">
        <v>469</v>
      </c>
      <c r="N96" t="s">
        <v>167</v>
      </c>
      <c r="O96" t="s">
        <v>490</v>
      </c>
      <c r="P96" t="s">
        <v>491</v>
      </c>
      <c r="Q96">
        <v>0</v>
      </c>
      <c r="R96">
        <v>6.5615400000000005E-4</v>
      </c>
      <c r="V96" t="s">
        <v>482</v>
      </c>
      <c r="W96" t="s">
        <v>483</v>
      </c>
      <c r="Y96" t="s">
        <v>197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1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85</v>
      </c>
    </row>
    <row r="97" spans="1:166" x14ac:dyDescent="0.3">
      <c r="A97" t="s">
        <v>492</v>
      </c>
      <c r="B97" t="s">
        <v>493</v>
      </c>
      <c r="E97" t="s">
        <v>479</v>
      </c>
      <c r="F97">
        <v>9.0819989999999997</v>
      </c>
      <c r="G97">
        <v>8.6752769999999995</v>
      </c>
      <c r="H97" t="s">
        <v>166</v>
      </c>
      <c r="I97">
        <v>470</v>
      </c>
      <c r="J97" t="s">
        <v>166</v>
      </c>
      <c r="K97">
        <v>470</v>
      </c>
      <c r="L97" t="s">
        <v>167</v>
      </c>
      <c r="M97">
        <v>469</v>
      </c>
      <c r="N97" t="s">
        <v>167</v>
      </c>
      <c r="O97" t="s">
        <v>494</v>
      </c>
      <c r="P97" t="s">
        <v>495</v>
      </c>
      <c r="Q97">
        <v>0</v>
      </c>
      <c r="R97">
        <v>9.56583E-4</v>
      </c>
      <c r="V97" t="s">
        <v>482</v>
      </c>
      <c r="W97" t="s">
        <v>483</v>
      </c>
      <c r="Y97" t="s">
        <v>197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0</v>
      </c>
      <c r="FC97">
        <v>1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2</v>
      </c>
    </row>
    <row r="98" spans="1:166" x14ac:dyDescent="0.3">
      <c r="A98" t="s">
        <v>496</v>
      </c>
      <c r="B98" t="s">
        <v>497</v>
      </c>
      <c r="E98" t="s">
        <v>479</v>
      </c>
      <c r="F98">
        <v>9.0819989999999997</v>
      </c>
      <c r="G98">
        <v>8.6752769999999995</v>
      </c>
      <c r="H98" t="s">
        <v>166</v>
      </c>
      <c r="I98">
        <v>470</v>
      </c>
      <c r="J98" t="s">
        <v>166</v>
      </c>
      <c r="K98">
        <v>470</v>
      </c>
      <c r="L98" t="s">
        <v>167</v>
      </c>
      <c r="M98">
        <v>469</v>
      </c>
      <c r="N98" t="s">
        <v>167</v>
      </c>
      <c r="O98" t="s">
        <v>494</v>
      </c>
      <c r="P98" t="s">
        <v>406</v>
      </c>
      <c r="Q98">
        <v>0</v>
      </c>
      <c r="R98">
        <v>9.8187100000000005E-4</v>
      </c>
      <c r="V98" t="s">
        <v>482</v>
      </c>
      <c r="W98" t="s">
        <v>483</v>
      </c>
      <c r="Y98" t="s">
        <v>197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1</v>
      </c>
      <c r="FB98">
        <v>0</v>
      </c>
      <c r="FC98">
        <v>1</v>
      </c>
      <c r="FD98">
        <v>1</v>
      </c>
      <c r="FE98">
        <v>0</v>
      </c>
      <c r="FF98">
        <v>0</v>
      </c>
      <c r="FG98">
        <v>1</v>
      </c>
      <c r="FH98">
        <v>0</v>
      </c>
      <c r="FI98">
        <v>0</v>
      </c>
      <c r="FJ98">
        <v>2</v>
      </c>
    </row>
    <row r="99" spans="1:166" x14ac:dyDescent="0.3">
      <c r="A99" t="s">
        <v>498</v>
      </c>
      <c r="B99" t="s">
        <v>499</v>
      </c>
      <c r="E99" t="s">
        <v>479</v>
      </c>
      <c r="F99">
        <v>9.0819989999999997</v>
      </c>
      <c r="G99">
        <v>8.6752769999999995</v>
      </c>
      <c r="H99" t="s">
        <v>166</v>
      </c>
      <c r="I99">
        <v>470</v>
      </c>
      <c r="J99" t="s">
        <v>166</v>
      </c>
      <c r="K99">
        <v>470</v>
      </c>
      <c r="L99" t="s">
        <v>167</v>
      </c>
      <c r="M99">
        <v>469</v>
      </c>
      <c r="N99" t="s">
        <v>167</v>
      </c>
      <c r="O99" t="s">
        <v>237</v>
      </c>
      <c r="P99" t="s">
        <v>500</v>
      </c>
      <c r="Q99">
        <v>0</v>
      </c>
      <c r="R99">
        <v>1.86568E-3</v>
      </c>
      <c r="V99" t="s">
        <v>482</v>
      </c>
      <c r="W99" t="s">
        <v>483</v>
      </c>
      <c r="Y99" t="s">
        <v>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821</v>
      </c>
    </row>
    <row r="100" spans="1:166" x14ac:dyDescent="0.3">
      <c r="A100" t="s">
        <v>501</v>
      </c>
      <c r="B100" t="s">
        <v>502</v>
      </c>
      <c r="E100" t="s">
        <v>479</v>
      </c>
      <c r="F100">
        <v>9.0819989999999997</v>
      </c>
      <c r="G100">
        <v>8.6752769999999995</v>
      </c>
      <c r="H100" t="s">
        <v>166</v>
      </c>
      <c r="I100">
        <v>470</v>
      </c>
      <c r="J100" t="s">
        <v>166</v>
      </c>
      <c r="K100">
        <v>470</v>
      </c>
      <c r="L100" t="s">
        <v>167</v>
      </c>
      <c r="M100">
        <v>469</v>
      </c>
      <c r="N100" t="s">
        <v>167</v>
      </c>
      <c r="O100" t="s">
        <v>494</v>
      </c>
      <c r="P100" t="s">
        <v>495</v>
      </c>
      <c r="Q100">
        <v>0</v>
      </c>
      <c r="R100">
        <v>9.56583E-4</v>
      </c>
      <c r="V100" t="s">
        <v>482</v>
      </c>
      <c r="W100" t="s">
        <v>483</v>
      </c>
      <c r="Y100" t="s">
        <v>197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0</v>
      </c>
      <c r="FC100">
        <v>1</v>
      </c>
      <c r="FD100">
        <v>1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2</v>
      </c>
    </row>
    <row r="101" spans="1:166" x14ac:dyDescent="0.3">
      <c r="A101" t="s">
        <v>503</v>
      </c>
      <c r="B101" t="s">
        <v>504</v>
      </c>
      <c r="E101" t="s">
        <v>479</v>
      </c>
      <c r="F101">
        <v>9.0819989999999997</v>
      </c>
      <c r="G101">
        <v>8.6752769999999995</v>
      </c>
      <c r="H101" t="s">
        <v>166</v>
      </c>
      <c r="I101">
        <v>470</v>
      </c>
      <c r="J101" t="s">
        <v>166</v>
      </c>
      <c r="K101">
        <v>470</v>
      </c>
      <c r="L101" t="s">
        <v>167</v>
      </c>
      <c r="M101">
        <v>469</v>
      </c>
      <c r="N101" t="s">
        <v>167</v>
      </c>
      <c r="O101" t="s">
        <v>505</v>
      </c>
      <c r="P101" t="s">
        <v>248</v>
      </c>
      <c r="Q101">
        <v>0</v>
      </c>
      <c r="R101">
        <v>2.16198E-3</v>
      </c>
      <c r="V101" t="s">
        <v>482</v>
      </c>
      <c r="W101" t="s">
        <v>483</v>
      </c>
      <c r="Y101" t="s">
        <v>197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267</v>
      </c>
    </row>
    <row r="102" spans="1:166" x14ac:dyDescent="0.3">
      <c r="A102" t="s">
        <v>506</v>
      </c>
      <c r="B102" t="s">
        <v>507</v>
      </c>
      <c r="E102" t="s">
        <v>479</v>
      </c>
      <c r="F102">
        <v>9.0819989999999997</v>
      </c>
      <c r="G102">
        <v>8.6752769999999995</v>
      </c>
      <c r="H102" t="s">
        <v>166</v>
      </c>
      <c r="I102">
        <v>470</v>
      </c>
      <c r="J102" t="s">
        <v>166</v>
      </c>
      <c r="K102">
        <v>470</v>
      </c>
      <c r="L102" t="s">
        <v>167</v>
      </c>
      <c r="M102">
        <v>469</v>
      </c>
      <c r="N102" t="s">
        <v>167</v>
      </c>
      <c r="O102" t="s">
        <v>494</v>
      </c>
      <c r="P102" t="s">
        <v>495</v>
      </c>
      <c r="Q102">
        <v>0</v>
      </c>
      <c r="R102">
        <v>9.56583E-4</v>
      </c>
      <c r="V102" t="s">
        <v>482</v>
      </c>
      <c r="W102" t="s">
        <v>483</v>
      </c>
      <c r="Y102" t="s">
        <v>197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1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1</v>
      </c>
      <c r="FD102">
        <v>1</v>
      </c>
      <c r="FE102">
        <v>0</v>
      </c>
      <c r="FF102">
        <v>0</v>
      </c>
      <c r="FG102">
        <v>1</v>
      </c>
      <c r="FH102">
        <v>0</v>
      </c>
      <c r="FI102">
        <v>0</v>
      </c>
      <c r="FJ102">
        <v>2</v>
      </c>
    </row>
    <row r="103" spans="1:166" x14ac:dyDescent="0.3">
      <c r="A103" t="s">
        <v>508</v>
      </c>
      <c r="B103" t="s">
        <v>509</v>
      </c>
      <c r="E103" t="s">
        <v>479</v>
      </c>
      <c r="F103">
        <v>9.0819989999999997</v>
      </c>
      <c r="G103">
        <v>8.6752769999999995</v>
      </c>
      <c r="H103" t="s">
        <v>166</v>
      </c>
      <c r="I103">
        <v>470</v>
      </c>
      <c r="J103" t="s">
        <v>166</v>
      </c>
      <c r="K103">
        <v>470</v>
      </c>
      <c r="L103" t="s">
        <v>167</v>
      </c>
      <c r="M103">
        <v>469</v>
      </c>
      <c r="N103" t="s">
        <v>167</v>
      </c>
      <c r="O103" t="s">
        <v>490</v>
      </c>
      <c r="P103" t="s">
        <v>510</v>
      </c>
      <c r="Q103">
        <v>0</v>
      </c>
      <c r="R103">
        <v>4.3443900000000001E-4</v>
      </c>
      <c r="V103" t="s">
        <v>482</v>
      </c>
      <c r="W103" t="s">
        <v>483</v>
      </c>
      <c r="Y103" t="s">
        <v>197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1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85</v>
      </c>
    </row>
    <row r="104" spans="1:166" x14ac:dyDescent="0.3">
      <c r="A104" t="s">
        <v>511</v>
      </c>
      <c r="B104" t="s">
        <v>512</v>
      </c>
      <c r="E104" t="s">
        <v>479</v>
      </c>
      <c r="F104">
        <v>9.0819989999999997</v>
      </c>
      <c r="G104">
        <v>8.6752769999999995</v>
      </c>
      <c r="H104" t="s">
        <v>166</v>
      </c>
      <c r="I104">
        <v>470</v>
      </c>
      <c r="J104" t="s">
        <v>166</v>
      </c>
      <c r="K104">
        <v>470</v>
      </c>
      <c r="L104" t="s">
        <v>167</v>
      </c>
      <c r="M104">
        <v>469</v>
      </c>
      <c r="N104" t="s">
        <v>167</v>
      </c>
      <c r="O104" t="s">
        <v>209</v>
      </c>
      <c r="P104" t="s">
        <v>513</v>
      </c>
      <c r="Q104">
        <v>0</v>
      </c>
      <c r="R104">
        <v>6.3136799999999999E-4</v>
      </c>
      <c r="V104" t="s">
        <v>482</v>
      </c>
      <c r="W104" t="s">
        <v>483</v>
      </c>
      <c r="Y104" t="s">
        <v>197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1</v>
      </c>
      <c r="FD104">
        <v>0</v>
      </c>
      <c r="FE104">
        <v>0</v>
      </c>
      <c r="FF104">
        <v>1</v>
      </c>
      <c r="FG104">
        <v>0</v>
      </c>
      <c r="FH104">
        <v>0</v>
      </c>
      <c r="FI104">
        <v>0</v>
      </c>
      <c r="FJ104">
        <v>1</v>
      </c>
    </row>
    <row r="105" spans="1:166" x14ac:dyDescent="0.3">
      <c r="A105" t="s">
        <v>514</v>
      </c>
      <c r="B105" t="s">
        <v>515</v>
      </c>
      <c r="E105" t="s">
        <v>479</v>
      </c>
      <c r="F105">
        <v>9.0819989999999997</v>
      </c>
      <c r="G105">
        <v>8.6752769999999995</v>
      </c>
      <c r="H105" t="s">
        <v>166</v>
      </c>
      <c r="I105">
        <v>470</v>
      </c>
      <c r="J105" t="s">
        <v>166</v>
      </c>
      <c r="K105">
        <v>470</v>
      </c>
      <c r="L105" t="s">
        <v>167</v>
      </c>
      <c r="M105">
        <v>469</v>
      </c>
      <c r="N105" t="s">
        <v>167</v>
      </c>
      <c r="O105" t="s">
        <v>494</v>
      </c>
      <c r="P105" t="s">
        <v>495</v>
      </c>
      <c r="Q105">
        <v>0</v>
      </c>
      <c r="R105">
        <v>9.56583E-4</v>
      </c>
      <c r="V105" t="s">
        <v>482</v>
      </c>
      <c r="W105" t="s">
        <v>483</v>
      </c>
      <c r="Y105" t="s">
        <v>197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1</v>
      </c>
      <c r="FB105">
        <v>0</v>
      </c>
      <c r="FC105">
        <v>1</v>
      </c>
      <c r="FD105">
        <v>1</v>
      </c>
      <c r="FE105">
        <v>0</v>
      </c>
      <c r="FF105">
        <v>0</v>
      </c>
      <c r="FG105">
        <v>1</v>
      </c>
      <c r="FH105">
        <v>0</v>
      </c>
      <c r="FI105">
        <v>0</v>
      </c>
      <c r="FJ105">
        <v>2</v>
      </c>
    </row>
    <row r="106" spans="1:166" x14ac:dyDescent="0.3">
      <c r="A106" t="s">
        <v>516</v>
      </c>
      <c r="B106" t="s">
        <v>517</v>
      </c>
      <c r="E106" t="s">
        <v>479</v>
      </c>
      <c r="F106">
        <v>9.0819989999999997</v>
      </c>
      <c r="G106">
        <v>8.6752769999999995</v>
      </c>
      <c r="H106" t="s">
        <v>166</v>
      </c>
      <c r="I106">
        <v>470</v>
      </c>
      <c r="J106" t="s">
        <v>166</v>
      </c>
      <c r="K106">
        <v>470</v>
      </c>
      <c r="L106" t="s">
        <v>167</v>
      </c>
      <c r="M106">
        <v>469</v>
      </c>
      <c r="N106" t="s">
        <v>167</v>
      </c>
      <c r="O106" t="s">
        <v>490</v>
      </c>
      <c r="P106" t="s">
        <v>518</v>
      </c>
      <c r="Q106">
        <v>0</v>
      </c>
      <c r="R106">
        <v>3.1257300000000002E-4</v>
      </c>
      <c r="V106" t="s">
        <v>482</v>
      </c>
      <c r="W106" t="s">
        <v>483</v>
      </c>
      <c r="Y106" t="s">
        <v>197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0</v>
      </c>
      <c r="EX106">
        <v>1</v>
      </c>
      <c r="EY106">
        <v>1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85</v>
      </c>
    </row>
    <row r="107" spans="1:166" x14ac:dyDescent="0.3">
      <c r="A107" t="s">
        <v>519</v>
      </c>
      <c r="B107" t="s">
        <v>520</v>
      </c>
      <c r="E107" t="s">
        <v>479</v>
      </c>
      <c r="F107">
        <v>9.0819989999999997</v>
      </c>
      <c r="G107">
        <v>8.6752769999999995</v>
      </c>
      <c r="H107" t="s">
        <v>166</v>
      </c>
      <c r="I107">
        <v>470</v>
      </c>
      <c r="J107" t="s">
        <v>166</v>
      </c>
      <c r="K107">
        <v>470</v>
      </c>
      <c r="L107" t="s">
        <v>167</v>
      </c>
      <c r="M107">
        <v>469</v>
      </c>
      <c r="N107" t="s">
        <v>167</v>
      </c>
      <c r="O107" t="s">
        <v>494</v>
      </c>
      <c r="P107" t="s">
        <v>406</v>
      </c>
      <c r="Q107">
        <v>0</v>
      </c>
      <c r="R107">
        <v>9.8187100000000005E-4</v>
      </c>
      <c r="V107" t="s">
        <v>482</v>
      </c>
      <c r="W107" t="s">
        <v>483</v>
      </c>
      <c r="Y107" t="s">
        <v>197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1</v>
      </c>
      <c r="FB107">
        <v>0</v>
      </c>
      <c r="FC107">
        <v>1</v>
      </c>
      <c r="FD107">
        <v>1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2</v>
      </c>
    </row>
    <row r="108" spans="1:166" x14ac:dyDescent="0.3">
      <c r="A108" t="s">
        <v>521</v>
      </c>
      <c r="B108" t="s">
        <v>522</v>
      </c>
      <c r="E108" t="s">
        <v>479</v>
      </c>
      <c r="F108">
        <v>9.0819989999999997</v>
      </c>
      <c r="G108">
        <v>8.6752769999999995</v>
      </c>
      <c r="H108" t="s">
        <v>166</v>
      </c>
      <c r="I108">
        <v>470</v>
      </c>
      <c r="J108" t="s">
        <v>166</v>
      </c>
      <c r="K108">
        <v>470</v>
      </c>
      <c r="L108" t="s">
        <v>167</v>
      </c>
      <c r="M108">
        <v>469</v>
      </c>
      <c r="N108" t="s">
        <v>167</v>
      </c>
      <c r="O108" t="s">
        <v>523</v>
      </c>
      <c r="P108" t="s">
        <v>524</v>
      </c>
      <c r="Q108">
        <v>0</v>
      </c>
      <c r="R108">
        <v>8.8095299999999997E-4</v>
      </c>
      <c r="V108" t="s">
        <v>482</v>
      </c>
      <c r="W108" t="s">
        <v>483</v>
      </c>
      <c r="Y108" t="s">
        <v>197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1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0</v>
      </c>
      <c r="EW108">
        <v>0</v>
      </c>
      <c r="EX108">
        <v>1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85</v>
      </c>
    </row>
    <row r="109" spans="1:166" x14ac:dyDescent="0.3">
      <c r="A109" t="s">
        <v>525</v>
      </c>
      <c r="B109" t="s">
        <v>526</v>
      </c>
      <c r="E109" t="s">
        <v>479</v>
      </c>
      <c r="F109">
        <v>9.0819989999999997</v>
      </c>
      <c r="G109">
        <v>8.6752769999999995</v>
      </c>
      <c r="H109" t="s">
        <v>166</v>
      </c>
      <c r="I109">
        <v>470</v>
      </c>
      <c r="J109" t="s">
        <v>166</v>
      </c>
      <c r="K109">
        <v>470</v>
      </c>
      <c r="L109" t="s">
        <v>167</v>
      </c>
      <c r="M109">
        <v>469</v>
      </c>
      <c r="N109" t="s">
        <v>167</v>
      </c>
      <c r="O109" t="s">
        <v>494</v>
      </c>
      <c r="P109" t="s">
        <v>406</v>
      </c>
      <c r="Q109">
        <v>0</v>
      </c>
      <c r="R109">
        <v>9.8187100000000005E-4</v>
      </c>
      <c r="V109" t="s">
        <v>482</v>
      </c>
      <c r="W109" t="s">
        <v>483</v>
      </c>
      <c r="Y109" t="s">
        <v>197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1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2</v>
      </c>
    </row>
    <row r="110" spans="1:166" x14ac:dyDescent="0.3">
      <c r="A110" t="s">
        <v>527</v>
      </c>
      <c r="B110" t="s">
        <v>528</v>
      </c>
      <c r="E110" t="s">
        <v>479</v>
      </c>
      <c r="F110">
        <v>9.0819989999999997</v>
      </c>
      <c r="G110">
        <v>8.6752769999999995</v>
      </c>
      <c r="H110" t="s">
        <v>166</v>
      </c>
      <c r="I110">
        <v>470</v>
      </c>
      <c r="J110" t="s">
        <v>166</v>
      </c>
      <c r="K110">
        <v>470</v>
      </c>
      <c r="L110" t="s">
        <v>167</v>
      </c>
      <c r="M110">
        <v>469</v>
      </c>
      <c r="N110" t="s">
        <v>167</v>
      </c>
      <c r="O110" t="s">
        <v>494</v>
      </c>
      <c r="P110" t="s">
        <v>406</v>
      </c>
      <c r="Q110">
        <v>0</v>
      </c>
      <c r="R110">
        <v>9.8187100000000005E-4</v>
      </c>
      <c r="V110" t="s">
        <v>482</v>
      </c>
      <c r="W110" t="s">
        <v>483</v>
      </c>
      <c r="Y110" t="s">
        <v>197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1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0</v>
      </c>
      <c r="FC110">
        <v>1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2</v>
      </c>
    </row>
    <row r="111" spans="1:166" x14ac:dyDescent="0.3">
      <c r="A111" t="s">
        <v>529</v>
      </c>
      <c r="B111" t="s">
        <v>530</v>
      </c>
      <c r="E111" t="s">
        <v>479</v>
      </c>
      <c r="F111">
        <v>9.0819989999999997</v>
      </c>
      <c r="G111">
        <v>8.6752769999999995</v>
      </c>
      <c r="H111" t="s">
        <v>166</v>
      </c>
      <c r="I111">
        <v>470</v>
      </c>
      <c r="J111" t="s">
        <v>166</v>
      </c>
      <c r="K111">
        <v>470</v>
      </c>
      <c r="L111" t="s">
        <v>167</v>
      </c>
      <c r="M111">
        <v>469</v>
      </c>
      <c r="N111" t="s">
        <v>167</v>
      </c>
      <c r="O111" t="s">
        <v>289</v>
      </c>
      <c r="P111" t="s">
        <v>513</v>
      </c>
      <c r="Q111">
        <v>0</v>
      </c>
      <c r="R111">
        <v>6.3136799999999999E-4</v>
      </c>
      <c r="V111" t="s">
        <v>482</v>
      </c>
      <c r="W111" t="s">
        <v>483</v>
      </c>
      <c r="Y111" t="s">
        <v>197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1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1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1</v>
      </c>
    </row>
    <row r="112" spans="1:166" x14ac:dyDescent="0.3">
      <c r="A112" t="s">
        <v>531</v>
      </c>
      <c r="B112" t="s">
        <v>532</v>
      </c>
      <c r="E112" t="s">
        <v>479</v>
      </c>
      <c r="F112">
        <v>9.0819989999999997</v>
      </c>
      <c r="G112">
        <v>8.6752769999999995</v>
      </c>
      <c r="H112" t="s">
        <v>166</v>
      </c>
      <c r="I112">
        <v>470</v>
      </c>
      <c r="J112" t="s">
        <v>166</v>
      </c>
      <c r="K112">
        <v>470</v>
      </c>
      <c r="L112" t="s">
        <v>167</v>
      </c>
      <c r="M112">
        <v>469</v>
      </c>
      <c r="N112" t="s">
        <v>167</v>
      </c>
      <c r="O112" t="s">
        <v>533</v>
      </c>
      <c r="P112" t="s">
        <v>534</v>
      </c>
      <c r="Q112">
        <v>0</v>
      </c>
      <c r="R112">
        <v>8.0567300000000002E-4</v>
      </c>
      <c r="V112" t="s">
        <v>482</v>
      </c>
      <c r="W112" t="s">
        <v>483</v>
      </c>
      <c r="Y112" t="s">
        <v>197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1</v>
      </c>
      <c r="EY112">
        <v>1</v>
      </c>
      <c r="EZ112">
        <v>0</v>
      </c>
      <c r="FA112">
        <v>0</v>
      </c>
      <c r="FB112">
        <v>0</v>
      </c>
      <c r="FC112">
        <v>1</v>
      </c>
      <c r="FD112">
        <v>1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25</v>
      </c>
    </row>
    <row r="113" spans="1:166" x14ac:dyDescent="0.3">
      <c r="A113" t="s">
        <v>535</v>
      </c>
      <c r="B113" t="s">
        <v>536</v>
      </c>
      <c r="E113" t="s">
        <v>479</v>
      </c>
      <c r="F113">
        <v>9.0819989999999997</v>
      </c>
      <c r="G113">
        <v>8.6752769999999995</v>
      </c>
      <c r="H113" t="s">
        <v>166</v>
      </c>
      <c r="I113">
        <v>470</v>
      </c>
      <c r="J113" t="s">
        <v>166</v>
      </c>
      <c r="K113">
        <v>470</v>
      </c>
      <c r="L113" t="s">
        <v>167</v>
      </c>
      <c r="M113">
        <v>469</v>
      </c>
      <c r="N113" t="s">
        <v>167</v>
      </c>
      <c r="O113" t="s">
        <v>494</v>
      </c>
      <c r="P113" t="s">
        <v>495</v>
      </c>
      <c r="Q113">
        <v>0</v>
      </c>
      <c r="R113">
        <v>9.56583E-4</v>
      </c>
      <c r="V113" t="s">
        <v>482</v>
      </c>
      <c r="W113" t="s">
        <v>483</v>
      </c>
      <c r="Y113" t="s">
        <v>197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2</v>
      </c>
    </row>
    <row r="114" spans="1:166" x14ac:dyDescent="0.3">
      <c r="A114" t="s">
        <v>537</v>
      </c>
      <c r="B114" t="s">
        <v>538</v>
      </c>
      <c r="E114" t="s">
        <v>479</v>
      </c>
      <c r="F114">
        <v>9.0819989999999997</v>
      </c>
      <c r="G114">
        <v>8.6752769999999995</v>
      </c>
      <c r="H114" t="s">
        <v>166</v>
      </c>
      <c r="I114">
        <v>470</v>
      </c>
      <c r="J114" t="s">
        <v>166</v>
      </c>
      <c r="K114">
        <v>470</v>
      </c>
      <c r="L114" t="s">
        <v>167</v>
      </c>
      <c r="M114">
        <v>469</v>
      </c>
      <c r="N114" t="s">
        <v>167</v>
      </c>
      <c r="O114" t="s">
        <v>494</v>
      </c>
      <c r="P114" t="s">
        <v>406</v>
      </c>
      <c r="Q114">
        <v>0</v>
      </c>
      <c r="R114">
        <v>9.8187100000000005E-4</v>
      </c>
      <c r="V114" t="s">
        <v>482</v>
      </c>
      <c r="W114" t="s">
        <v>483</v>
      </c>
      <c r="Y114" t="s">
        <v>197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1</v>
      </c>
      <c r="FB114">
        <v>0</v>
      </c>
      <c r="FC114">
        <v>1</v>
      </c>
      <c r="FD114">
        <v>1</v>
      </c>
      <c r="FE114">
        <v>0</v>
      </c>
      <c r="FF114">
        <v>0</v>
      </c>
      <c r="FG114">
        <v>1</v>
      </c>
      <c r="FH114">
        <v>0</v>
      </c>
      <c r="FI114">
        <v>0</v>
      </c>
      <c r="FJ114">
        <v>2</v>
      </c>
    </row>
    <row r="115" spans="1:166" x14ac:dyDescent="0.3">
      <c r="A115" t="s">
        <v>539</v>
      </c>
      <c r="B115" t="s">
        <v>540</v>
      </c>
      <c r="E115" t="s">
        <v>479</v>
      </c>
      <c r="F115">
        <v>9.0819989999999997</v>
      </c>
      <c r="G115">
        <v>8.6752769999999995</v>
      </c>
      <c r="H115" t="s">
        <v>166</v>
      </c>
      <c r="I115">
        <v>470</v>
      </c>
      <c r="J115" t="s">
        <v>166</v>
      </c>
      <c r="K115">
        <v>470</v>
      </c>
      <c r="L115" t="s">
        <v>167</v>
      </c>
      <c r="M115">
        <v>469</v>
      </c>
      <c r="N115" t="s">
        <v>167</v>
      </c>
      <c r="O115" t="s">
        <v>533</v>
      </c>
      <c r="P115" t="s">
        <v>541</v>
      </c>
      <c r="Q115">
        <v>0</v>
      </c>
      <c r="R115">
        <v>4.0999199999999997E-4</v>
      </c>
      <c r="V115" t="s">
        <v>482</v>
      </c>
      <c r="W115" t="s">
        <v>483</v>
      </c>
      <c r="Y115" t="s">
        <v>197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1</v>
      </c>
      <c r="EY115">
        <v>1</v>
      </c>
      <c r="EZ115">
        <v>0</v>
      </c>
      <c r="FA115">
        <v>1</v>
      </c>
      <c r="FB115">
        <v>0</v>
      </c>
      <c r="FC115">
        <v>1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25</v>
      </c>
    </row>
    <row r="116" spans="1:166" x14ac:dyDescent="0.3">
      <c r="A116" t="s">
        <v>542</v>
      </c>
      <c r="B116" t="s">
        <v>543</v>
      </c>
      <c r="E116" t="s">
        <v>479</v>
      </c>
      <c r="F116">
        <v>9.0819989999999997</v>
      </c>
      <c r="G116">
        <v>8.6752769999999995</v>
      </c>
      <c r="H116" t="s">
        <v>166</v>
      </c>
      <c r="I116">
        <v>470</v>
      </c>
      <c r="J116" t="s">
        <v>166</v>
      </c>
      <c r="K116">
        <v>470</v>
      </c>
      <c r="L116" t="s">
        <v>167</v>
      </c>
      <c r="M116">
        <v>469</v>
      </c>
      <c r="N116" t="s">
        <v>167</v>
      </c>
      <c r="O116" t="s">
        <v>221</v>
      </c>
      <c r="P116" t="s">
        <v>544</v>
      </c>
      <c r="Q116">
        <v>0</v>
      </c>
      <c r="R116">
        <v>1.91916E-3</v>
      </c>
      <c r="V116" t="s">
        <v>482</v>
      </c>
      <c r="W116" t="s">
        <v>483</v>
      </c>
      <c r="Y116" t="s">
        <v>197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1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164</v>
      </c>
    </row>
    <row r="117" spans="1:166" x14ac:dyDescent="0.3">
      <c r="A117" t="s">
        <v>545</v>
      </c>
      <c r="B117" t="s">
        <v>546</v>
      </c>
      <c r="E117" t="s">
        <v>479</v>
      </c>
      <c r="F117">
        <v>9.0819989999999997</v>
      </c>
      <c r="G117">
        <v>8.6752769999999995</v>
      </c>
      <c r="H117" t="s">
        <v>166</v>
      </c>
      <c r="I117">
        <v>470</v>
      </c>
      <c r="J117" t="s">
        <v>166</v>
      </c>
      <c r="K117">
        <v>470</v>
      </c>
      <c r="L117" t="s">
        <v>167</v>
      </c>
      <c r="M117">
        <v>469</v>
      </c>
      <c r="N117" t="s">
        <v>167</v>
      </c>
      <c r="O117" t="s">
        <v>209</v>
      </c>
      <c r="P117" t="s">
        <v>244</v>
      </c>
      <c r="Q117">
        <v>0</v>
      </c>
      <c r="R117">
        <v>7.7809200000000002E-3</v>
      </c>
      <c r="V117" t="s">
        <v>482</v>
      </c>
      <c r="W117" t="s">
        <v>483</v>
      </c>
      <c r="Y117" t="s">
        <v>197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1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1</v>
      </c>
      <c r="FD117">
        <v>1</v>
      </c>
      <c r="FE117">
        <v>0</v>
      </c>
      <c r="FF117">
        <v>1</v>
      </c>
      <c r="FG117">
        <v>1</v>
      </c>
      <c r="FH117">
        <v>0</v>
      </c>
      <c r="FI117">
        <v>0</v>
      </c>
      <c r="FJ117" t="s">
        <v>198</v>
      </c>
    </row>
    <row r="118" spans="1:166" x14ac:dyDescent="0.3">
      <c r="A118" t="s">
        <v>547</v>
      </c>
      <c r="B118" t="s">
        <v>548</v>
      </c>
      <c r="E118" t="s">
        <v>479</v>
      </c>
      <c r="F118">
        <v>9.0819989999999997</v>
      </c>
      <c r="G118">
        <v>8.6752769999999995</v>
      </c>
      <c r="H118" t="s">
        <v>166</v>
      </c>
      <c r="I118">
        <v>470</v>
      </c>
      <c r="J118" t="s">
        <v>166</v>
      </c>
      <c r="K118">
        <v>470</v>
      </c>
      <c r="L118" t="s">
        <v>167</v>
      </c>
      <c r="M118">
        <v>469</v>
      </c>
      <c r="N118" t="s">
        <v>167</v>
      </c>
      <c r="O118" t="s">
        <v>490</v>
      </c>
      <c r="P118" t="s">
        <v>549</v>
      </c>
      <c r="Q118">
        <v>0</v>
      </c>
      <c r="R118">
        <v>4.5892399999999999E-4</v>
      </c>
      <c r="V118" t="s">
        <v>482</v>
      </c>
      <c r="W118" t="s">
        <v>483</v>
      </c>
      <c r="Y118" t="s">
        <v>197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85</v>
      </c>
    </row>
    <row r="119" spans="1:166" x14ac:dyDescent="0.3">
      <c r="A119" t="s">
        <v>550</v>
      </c>
      <c r="B119" t="s">
        <v>551</v>
      </c>
      <c r="E119" t="s">
        <v>479</v>
      </c>
      <c r="F119">
        <v>9.0819989999999997</v>
      </c>
      <c r="G119">
        <v>8.6752769999999995</v>
      </c>
      <c r="H119" t="s">
        <v>166</v>
      </c>
      <c r="I119">
        <v>470</v>
      </c>
      <c r="J119" t="s">
        <v>166</v>
      </c>
      <c r="K119">
        <v>470</v>
      </c>
      <c r="L119" t="s">
        <v>167</v>
      </c>
      <c r="M119">
        <v>469</v>
      </c>
      <c r="N119" t="s">
        <v>167</v>
      </c>
      <c r="O119" t="s">
        <v>494</v>
      </c>
      <c r="P119" t="s">
        <v>495</v>
      </c>
      <c r="Q119">
        <v>0</v>
      </c>
      <c r="R119">
        <v>9.56583E-4</v>
      </c>
      <c r="V119" t="s">
        <v>482</v>
      </c>
      <c r="W119" t="s">
        <v>483</v>
      </c>
      <c r="Y119" t="s">
        <v>197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1</v>
      </c>
      <c r="FB119">
        <v>0</v>
      </c>
      <c r="FC119">
        <v>1</v>
      </c>
      <c r="FD119">
        <v>1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2</v>
      </c>
    </row>
    <row r="120" spans="1:166" x14ac:dyDescent="0.3">
      <c r="A120" t="s">
        <v>552</v>
      </c>
      <c r="B120" t="s">
        <v>553</v>
      </c>
      <c r="E120" t="s">
        <v>479</v>
      </c>
      <c r="F120">
        <v>9.0819989999999997</v>
      </c>
      <c r="G120">
        <v>8.6752769999999995</v>
      </c>
      <c r="H120" t="s">
        <v>166</v>
      </c>
      <c r="I120">
        <v>470</v>
      </c>
      <c r="J120" t="s">
        <v>166</v>
      </c>
      <c r="K120">
        <v>470</v>
      </c>
      <c r="L120" t="s">
        <v>167</v>
      </c>
      <c r="M120">
        <v>469</v>
      </c>
      <c r="N120" t="s">
        <v>167</v>
      </c>
      <c r="O120" t="s">
        <v>490</v>
      </c>
      <c r="P120" t="s">
        <v>554</v>
      </c>
      <c r="Q120">
        <v>0</v>
      </c>
      <c r="R120">
        <v>9.5682600000000003E-3</v>
      </c>
      <c r="V120" t="s">
        <v>482</v>
      </c>
      <c r="W120" t="s">
        <v>483</v>
      </c>
      <c r="Y120" t="s">
        <v>197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1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1</v>
      </c>
      <c r="FF120">
        <v>0</v>
      </c>
      <c r="FG120">
        <v>0</v>
      </c>
      <c r="FH120">
        <v>0</v>
      </c>
      <c r="FI120">
        <v>0</v>
      </c>
      <c r="FJ120" t="s">
        <v>198</v>
      </c>
    </row>
    <row r="121" spans="1:166" x14ac:dyDescent="0.3">
      <c r="A121" t="s">
        <v>555</v>
      </c>
      <c r="B121" t="s">
        <v>556</v>
      </c>
      <c r="E121" t="s">
        <v>479</v>
      </c>
      <c r="F121">
        <v>9.0819989999999997</v>
      </c>
      <c r="G121">
        <v>8.6752769999999995</v>
      </c>
      <c r="H121" t="s">
        <v>166</v>
      </c>
      <c r="I121">
        <v>470</v>
      </c>
      <c r="J121" t="s">
        <v>166</v>
      </c>
      <c r="K121">
        <v>470</v>
      </c>
      <c r="L121" t="s">
        <v>167</v>
      </c>
      <c r="M121">
        <v>469</v>
      </c>
      <c r="N121" t="s">
        <v>167</v>
      </c>
      <c r="O121" t="s">
        <v>490</v>
      </c>
      <c r="P121" t="s">
        <v>534</v>
      </c>
      <c r="Q121">
        <v>0</v>
      </c>
      <c r="R121">
        <v>8.0567300000000002E-4</v>
      </c>
      <c r="V121" t="s">
        <v>482</v>
      </c>
      <c r="W121" t="s">
        <v>483</v>
      </c>
      <c r="Y121" t="s">
        <v>197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85</v>
      </c>
    </row>
    <row r="122" spans="1:166" x14ac:dyDescent="0.3">
      <c r="A122" t="s">
        <v>557</v>
      </c>
      <c r="B122" t="s">
        <v>558</v>
      </c>
      <c r="E122" t="s">
        <v>479</v>
      </c>
      <c r="F122">
        <v>9.0819989999999997</v>
      </c>
      <c r="G122">
        <v>8.6752769999999995</v>
      </c>
      <c r="H122" t="s">
        <v>166</v>
      </c>
      <c r="I122">
        <v>470</v>
      </c>
      <c r="J122" t="s">
        <v>166</v>
      </c>
      <c r="K122">
        <v>470</v>
      </c>
      <c r="L122" t="s">
        <v>167</v>
      </c>
      <c r="M122">
        <v>469</v>
      </c>
      <c r="N122" t="s">
        <v>167</v>
      </c>
      <c r="O122" t="s">
        <v>523</v>
      </c>
      <c r="P122" t="s">
        <v>495</v>
      </c>
      <c r="Q122">
        <v>0</v>
      </c>
      <c r="R122">
        <v>9.56583E-4</v>
      </c>
      <c r="V122" t="s">
        <v>482</v>
      </c>
      <c r="W122" t="s">
        <v>483</v>
      </c>
      <c r="Y122" t="s">
        <v>197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0</v>
      </c>
      <c r="EV122">
        <v>0</v>
      </c>
      <c r="EW122">
        <v>0</v>
      </c>
      <c r="EX122">
        <v>1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1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85</v>
      </c>
    </row>
    <row r="123" spans="1:166" x14ac:dyDescent="0.3">
      <c r="A123" t="s">
        <v>559</v>
      </c>
      <c r="B123" t="s">
        <v>560</v>
      </c>
      <c r="E123" t="s">
        <v>479</v>
      </c>
      <c r="F123">
        <v>9.0819989999999997</v>
      </c>
      <c r="G123">
        <v>8.6752769999999995</v>
      </c>
      <c r="H123" t="s">
        <v>166</v>
      </c>
      <c r="I123">
        <v>470</v>
      </c>
      <c r="J123" t="s">
        <v>166</v>
      </c>
      <c r="K123">
        <v>470</v>
      </c>
      <c r="L123" t="s">
        <v>167</v>
      </c>
      <c r="M123">
        <v>469</v>
      </c>
      <c r="N123" t="s">
        <v>167</v>
      </c>
      <c r="O123" t="s">
        <v>494</v>
      </c>
      <c r="P123" t="s">
        <v>214</v>
      </c>
      <c r="Q123">
        <v>0</v>
      </c>
      <c r="R123">
        <v>9.2055499999999998E-3</v>
      </c>
      <c r="V123" t="s">
        <v>482</v>
      </c>
      <c r="W123" t="s">
        <v>483</v>
      </c>
      <c r="Y123" t="s">
        <v>197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1</v>
      </c>
      <c r="FD123">
        <v>1</v>
      </c>
      <c r="FE123">
        <v>1</v>
      </c>
      <c r="FF123">
        <v>0</v>
      </c>
      <c r="FG123">
        <v>1</v>
      </c>
      <c r="FH123">
        <v>0</v>
      </c>
      <c r="FI123">
        <v>0</v>
      </c>
      <c r="FJ123" t="s">
        <v>198</v>
      </c>
    </row>
    <row r="124" spans="1:166" x14ac:dyDescent="0.3">
      <c r="A124" t="s">
        <v>561</v>
      </c>
      <c r="B124" t="s">
        <v>562</v>
      </c>
      <c r="E124" t="s">
        <v>479</v>
      </c>
      <c r="F124">
        <v>9.0819989999999997</v>
      </c>
      <c r="G124">
        <v>8.6752769999999995</v>
      </c>
      <c r="H124" t="s">
        <v>166</v>
      </c>
      <c r="I124">
        <v>470</v>
      </c>
      <c r="J124" t="s">
        <v>166</v>
      </c>
      <c r="K124">
        <v>470</v>
      </c>
      <c r="L124" t="s">
        <v>167</v>
      </c>
      <c r="M124">
        <v>469</v>
      </c>
      <c r="N124" t="s">
        <v>167</v>
      </c>
      <c r="O124" t="s">
        <v>480</v>
      </c>
      <c r="P124" t="s">
        <v>563</v>
      </c>
      <c r="Q124">
        <v>0</v>
      </c>
      <c r="R124">
        <v>9.2455200000000001E-3</v>
      </c>
      <c r="V124" t="s">
        <v>482</v>
      </c>
      <c r="W124" t="s">
        <v>483</v>
      </c>
      <c r="Y124" t="s">
        <v>197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1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1</v>
      </c>
      <c r="EG124">
        <v>0</v>
      </c>
      <c r="EH124">
        <v>1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1</v>
      </c>
      <c r="FC124">
        <v>1</v>
      </c>
      <c r="FD124">
        <v>1</v>
      </c>
      <c r="FE124">
        <v>0</v>
      </c>
      <c r="FF124">
        <v>0</v>
      </c>
      <c r="FG124">
        <v>1</v>
      </c>
      <c r="FH124">
        <v>0</v>
      </c>
      <c r="FI124">
        <v>0</v>
      </c>
      <c r="FJ124" t="s">
        <v>198</v>
      </c>
    </row>
    <row r="125" spans="1:166" x14ac:dyDescent="0.3">
      <c r="A125" t="s">
        <v>564</v>
      </c>
      <c r="B125" t="s">
        <v>565</v>
      </c>
      <c r="E125" t="s">
        <v>479</v>
      </c>
      <c r="F125">
        <v>9.0819989999999997</v>
      </c>
      <c r="G125">
        <v>8.6752769999999995</v>
      </c>
      <c r="H125" t="s">
        <v>166</v>
      </c>
      <c r="I125">
        <v>470</v>
      </c>
      <c r="J125" t="s">
        <v>166</v>
      </c>
      <c r="K125">
        <v>470</v>
      </c>
      <c r="L125" t="s">
        <v>167</v>
      </c>
      <c r="M125">
        <v>469</v>
      </c>
      <c r="N125" t="s">
        <v>167</v>
      </c>
      <c r="O125" t="s">
        <v>494</v>
      </c>
      <c r="P125" t="s">
        <v>566</v>
      </c>
      <c r="Q125">
        <v>0</v>
      </c>
      <c r="R125">
        <v>1.0229800000000001E-2</v>
      </c>
      <c r="V125" t="s">
        <v>482</v>
      </c>
      <c r="W125" t="s">
        <v>483</v>
      </c>
      <c r="Y125" t="s">
        <v>197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1</v>
      </c>
      <c r="FD125">
        <v>1</v>
      </c>
      <c r="FE125">
        <v>0</v>
      </c>
      <c r="FF125">
        <v>0</v>
      </c>
      <c r="FG125">
        <v>1</v>
      </c>
      <c r="FH125">
        <v>0</v>
      </c>
      <c r="FI125">
        <v>0</v>
      </c>
      <c r="FJ125" t="s">
        <v>198</v>
      </c>
    </row>
    <row r="126" spans="1:166" x14ac:dyDescent="0.3">
      <c r="A126" t="s">
        <v>567</v>
      </c>
      <c r="B126" t="s">
        <v>568</v>
      </c>
      <c r="E126" t="s">
        <v>479</v>
      </c>
      <c r="F126">
        <v>9.0819989999999997</v>
      </c>
      <c r="G126">
        <v>8.6752769999999995</v>
      </c>
      <c r="H126" t="s">
        <v>166</v>
      </c>
      <c r="I126">
        <v>470</v>
      </c>
      <c r="J126" t="s">
        <v>166</v>
      </c>
      <c r="K126">
        <v>470</v>
      </c>
      <c r="L126" t="s">
        <v>167</v>
      </c>
      <c r="M126">
        <v>469</v>
      </c>
      <c r="N126" t="s">
        <v>167</v>
      </c>
      <c r="O126" t="s">
        <v>490</v>
      </c>
      <c r="P126" t="s">
        <v>510</v>
      </c>
      <c r="Q126">
        <v>0</v>
      </c>
      <c r="R126">
        <v>4.3443900000000001E-4</v>
      </c>
      <c r="V126" t="s">
        <v>482</v>
      </c>
      <c r="W126" t="s">
        <v>483</v>
      </c>
      <c r="Y126" t="s">
        <v>197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85</v>
      </c>
    </row>
    <row r="127" spans="1:166" x14ac:dyDescent="0.3">
      <c r="A127" t="s">
        <v>569</v>
      </c>
      <c r="B127" t="s">
        <v>570</v>
      </c>
      <c r="E127" t="s">
        <v>479</v>
      </c>
      <c r="F127">
        <v>9.0819989999999997</v>
      </c>
      <c r="G127">
        <v>8.6752769999999995</v>
      </c>
      <c r="H127" t="s">
        <v>166</v>
      </c>
      <c r="I127">
        <v>470</v>
      </c>
      <c r="J127" t="s">
        <v>166</v>
      </c>
      <c r="K127">
        <v>470</v>
      </c>
      <c r="L127" t="s">
        <v>167</v>
      </c>
      <c r="M127">
        <v>469</v>
      </c>
      <c r="N127" t="s">
        <v>167</v>
      </c>
      <c r="O127" t="s">
        <v>490</v>
      </c>
      <c r="P127" t="s">
        <v>510</v>
      </c>
      <c r="Q127">
        <v>0</v>
      </c>
      <c r="R127">
        <v>4.3443900000000001E-4</v>
      </c>
      <c r="V127" t="s">
        <v>482</v>
      </c>
      <c r="W127" t="s">
        <v>483</v>
      </c>
      <c r="Y127" t="s">
        <v>197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1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85</v>
      </c>
    </row>
    <row r="128" spans="1:166" x14ac:dyDescent="0.3">
      <c r="A128" t="s">
        <v>571</v>
      </c>
      <c r="B128" t="s">
        <v>572</v>
      </c>
      <c r="C128" t="s">
        <v>1401</v>
      </c>
      <c r="D128">
        <v>2016</v>
      </c>
      <c r="E128" t="s">
        <v>573</v>
      </c>
      <c r="F128">
        <v>9</v>
      </c>
      <c r="G128">
        <v>38</v>
      </c>
      <c r="H128" t="s">
        <v>166</v>
      </c>
      <c r="I128">
        <v>470</v>
      </c>
      <c r="J128" t="s">
        <v>166</v>
      </c>
      <c r="K128">
        <v>470</v>
      </c>
      <c r="L128" t="s">
        <v>167</v>
      </c>
      <c r="M128">
        <v>469</v>
      </c>
      <c r="N128" t="s">
        <v>167</v>
      </c>
      <c r="O128" t="s">
        <v>505</v>
      </c>
      <c r="P128" t="s">
        <v>403</v>
      </c>
      <c r="Q128">
        <v>0</v>
      </c>
      <c r="R128">
        <v>3.6372100000000001E-3</v>
      </c>
      <c r="T128" t="s">
        <v>444</v>
      </c>
      <c r="V128" t="s">
        <v>1391</v>
      </c>
      <c r="W128" t="s">
        <v>1350</v>
      </c>
      <c r="Y128" t="s">
        <v>574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1</v>
      </c>
      <c r="ES128">
        <v>0</v>
      </c>
      <c r="ET128">
        <v>0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267</v>
      </c>
    </row>
    <row r="129" spans="1:166" x14ac:dyDescent="0.3">
      <c r="A129" t="s">
        <v>575</v>
      </c>
      <c r="B129" t="s">
        <v>576</v>
      </c>
      <c r="C129" t="s">
        <v>1401</v>
      </c>
      <c r="D129">
        <v>2016</v>
      </c>
      <c r="E129" t="s">
        <v>573</v>
      </c>
      <c r="F129">
        <v>9</v>
      </c>
      <c r="G129">
        <v>38</v>
      </c>
      <c r="H129" t="s">
        <v>166</v>
      </c>
      <c r="I129">
        <v>470</v>
      </c>
      <c r="J129" t="s">
        <v>166</v>
      </c>
      <c r="K129">
        <v>470</v>
      </c>
      <c r="L129" t="s">
        <v>167</v>
      </c>
      <c r="M129">
        <v>469</v>
      </c>
      <c r="N129" t="s">
        <v>167</v>
      </c>
      <c r="O129" t="s">
        <v>577</v>
      </c>
      <c r="P129" t="s">
        <v>578</v>
      </c>
      <c r="Q129">
        <v>0</v>
      </c>
      <c r="R129">
        <v>1.7857699999999999E-3</v>
      </c>
      <c r="T129" t="s">
        <v>444</v>
      </c>
      <c r="V129" t="s">
        <v>1391</v>
      </c>
      <c r="W129" t="s">
        <v>1350</v>
      </c>
      <c r="Y129" t="s">
        <v>574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1</v>
      </c>
      <c r="FB129">
        <v>0</v>
      </c>
      <c r="FC129">
        <v>1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1</v>
      </c>
    </row>
    <row r="130" spans="1:166" x14ac:dyDescent="0.3">
      <c r="A130" t="s">
        <v>579</v>
      </c>
      <c r="B130" t="s">
        <v>580</v>
      </c>
      <c r="C130" t="s">
        <v>1401</v>
      </c>
      <c r="D130">
        <v>2016</v>
      </c>
      <c r="E130" t="s">
        <v>573</v>
      </c>
      <c r="F130">
        <v>9</v>
      </c>
      <c r="G130">
        <v>38</v>
      </c>
      <c r="H130" t="s">
        <v>166</v>
      </c>
      <c r="I130">
        <v>470</v>
      </c>
      <c r="J130" t="s">
        <v>166</v>
      </c>
      <c r="K130">
        <v>470</v>
      </c>
      <c r="L130" t="s">
        <v>167</v>
      </c>
      <c r="M130">
        <v>469</v>
      </c>
      <c r="N130" t="s">
        <v>167</v>
      </c>
      <c r="O130" t="s">
        <v>577</v>
      </c>
      <c r="P130" t="s">
        <v>581</v>
      </c>
      <c r="Q130">
        <v>0</v>
      </c>
      <c r="R130">
        <v>1.9728200000000001E-3</v>
      </c>
      <c r="T130" t="s">
        <v>444</v>
      </c>
      <c r="V130" t="s">
        <v>1391</v>
      </c>
      <c r="W130" t="s">
        <v>1350</v>
      </c>
      <c r="Y130" t="s">
        <v>574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1</v>
      </c>
      <c r="FD130">
        <v>0</v>
      </c>
      <c r="FE130">
        <v>0</v>
      </c>
      <c r="FF130">
        <v>1</v>
      </c>
      <c r="FG130">
        <v>0</v>
      </c>
      <c r="FH130">
        <v>0</v>
      </c>
      <c r="FI130">
        <v>0</v>
      </c>
      <c r="FJ130">
        <v>1</v>
      </c>
    </row>
    <row r="131" spans="1:166" x14ac:dyDescent="0.3">
      <c r="A131" t="s">
        <v>582</v>
      </c>
      <c r="B131" t="s">
        <v>583</v>
      </c>
      <c r="C131" t="s">
        <v>1401</v>
      </c>
      <c r="D131">
        <v>2016</v>
      </c>
      <c r="E131" t="s">
        <v>573</v>
      </c>
      <c r="F131">
        <v>9</v>
      </c>
      <c r="G131">
        <v>38</v>
      </c>
      <c r="H131" t="s">
        <v>166</v>
      </c>
      <c r="I131">
        <v>470</v>
      </c>
      <c r="J131" t="s">
        <v>166</v>
      </c>
      <c r="K131">
        <v>470</v>
      </c>
      <c r="L131" t="s">
        <v>167</v>
      </c>
      <c r="M131">
        <v>469</v>
      </c>
      <c r="N131" t="s">
        <v>167</v>
      </c>
      <c r="O131" t="s">
        <v>584</v>
      </c>
      <c r="P131" t="s">
        <v>585</v>
      </c>
      <c r="Q131">
        <v>0</v>
      </c>
      <c r="R131">
        <v>1.8389999999999999E-3</v>
      </c>
      <c r="T131" t="s">
        <v>444</v>
      </c>
      <c r="V131" t="s">
        <v>1391</v>
      </c>
      <c r="W131" t="s">
        <v>1350</v>
      </c>
      <c r="Y131" t="s">
        <v>574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1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0</v>
      </c>
      <c r="FJ131">
        <v>1</v>
      </c>
    </row>
    <row r="132" spans="1:166" x14ac:dyDescent="0.3">
      <c r="A132" t="s">
        <v>586</v>
      </c>
      <c r="B132" t="s">
        <v>587</v>
      </c>
      <c r="C132" t="s">
        <v>1401</v>
      </c>
      <c r="D132">
        <v>2016</v>
      </c>
      <c r="E132" t="s">
        <v>573</v>
      </c>
      <c r="F132">
        <v>9</v>
      </c>
      <c r="G132">
        <v>38</v>
      </c>
      <c r="H132" t="s">
        <v>166</v>
      </c>
      <c r="I132">
        <v>470</v>
      </c>
      <c r="J132" t="s">
        <v>166</v>
      </c>
      <c r="K132">
        <v>470</v>
      </c>
      <c r="L132" t="s">
        <v>167</v>
      </c>
      <c r="M132">
        <v>469</v>
      </c>
      <c r="N132" t="s">
        <v>167</v>
      </c>
      <c r="O132" t="s">
        <v>577</v>
      </c>
      <c r="P132" t="s">
        <v>588</v>
      </c>
      <c r="Q132">
        <v>0</v>
      </c>
      <c r="R132">
        <v>1.57453E-3</v>
      </c>
      <c r="T132" t="s">
        <v>444</v>
      </c>
      <c r="V132" t="s">
        <v>1391</v>
      </c>
      <c r="W132" t="s">
        <v>1350</v>
      </c>
      <c r="Y132" t="s">
        <v>574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1</v>
      </c>
      <c r="FB132">
        <v>0</v>
      </c>
      <c r="FC132">
        <v>1</v>
      </c>
      <c r="FD132">
        <v>0</v>
      </c>
      <c r="FE132">
        <v>0</v>
      </c>
      <c r="FF132">
        <v>1</v>
      </c>
      <c r="FG132">
        <v>0</v>
      </c>
      <c r="FH132">
        <v>0</v>
      </c>
      <c r="FI132">
        <v>0</v>
      </c>
      <c r="FJ132">
        <v>1</v>
      </c>
    </row>
    <row r="133" spans="1:166" x14ac:dyDescent="0.3">
      <c r="A133" t="s">
        <v>589</v>
      </c>
      <c r="B133" t="s">
        <v>590</v>
      </c>
      <c r="C133" t="s">
        <v>1401</v>
      </c>
      <c r="D133">
        <v>2016</v>
      </c>
      <c r="E133" t="s">
        <v>573</v>
      </c>
      <c r="F133">
        <v>9</v>
      </c>
      <c r="G133">
        <v>38</v>
      </c>
      <c r="H133" t="s">
        <v>166</v>
      </c>
      <c r="I133">
        <v>470</v>
      </c>
      <c r="J133" t="s">
        <v>166</v>
      </c>
      <c r="K133">
        <v>470</v>
      </c>
      <c r="L133" t="s">
        <v>167</v>
      </c>
      <c r="M133">
        <v>469</v>
      </c>
      <c r="N133" t="s">
        <v>167</v>
      </c>
      <c r="O133" t="s">
        <v>591</v>
      </c>
      <c r="P133" t="s">
        <v>592</v>
      </c>
      <c r="Q133">
        <v>0</v>
      </c>
      <c r="R133">
        <v>1.65343E-3</v>
      </c>
      <c r="T133" t="s">
        <v>444</v>
      </c>
      <c r="V133" t="s">
        <v>1391</v>
      </c>
      <c r="W133" t="s">
        <v>1350</v>
      </c>
      <c r="Y133" t="s">
        <v>574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1</v>
      </c>
      <c r="FB133">
        <v>0</v>
      </c>
      <c r="FC133">
        <v>1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0</v>
      </c>
      <c r="FJ133">
        <v>1</v>
      </c>
    </row>
    <row r="134" spans="1:166" x14ac:dyDescent="0.3">
      <c r="A134" t="s">
        <v>593</v>
      </c>
      <c r="B134" t="s">
        <v>594</v>
      </c>
      <c r="C134" t="s">
        <v>1401</v>
      </c>
      <c r="D134">
        <v>2016</v>
      </c>
      <c r="E134" t="s">
        <v>573</v>
      </c>
      <c r="F134">
        <v>12</v>
      </c>
      <c r="G134">
        <v>8</v>
      </c>
      <c r="H134" t="s">
        <v>166</v>
      </c>
      <c r="I134">
        <v>470</v>
      </c>
      <c r="J134" t="s">
        <v>166</v>
      </c>
      <c r="K134">
        <v>470</v>
      </c>
      <c r="L134" t="s">
        <v>167</v>
      </c>
      <c r="M134">
        <v>469</v>
      </c>
      <c r="N134" t="s">
        <v>167</v>
      </c>
      <c r="O134" t="s">
        <v>595</v>
      </c>
      <c r="P134" t="s">
        <v>578</v>
      </c>
      <c r="Q134">
        <v>0</v>
      </c>
      <c r="R134">
        <v>1.7857699999999999E-3</v>
      </c>
      <c r="T134" t="s">
        <v>444</v>
      </c>
      <c r="V134" t="s">
        <v>1391</v>
      </c>
      <c r="W134" t="s">
        <v>1350</v>
      </c>
      <c r="Y134" t="s">
        <v>197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1</v>
      </c>
      <c r="FB134">
        <v>0</v>
      </c>
      <c r="FC134">
        <v>1</v>
      </c>
      <c r="FD134">
        <v>1</v>
      </c>
      <c r="FE134">
        <v>0</v>
      </c>
      <c r="FF134">
        <v>0</v>
      </c>
      <c r="FG134">
        <v>1</v>
      </c>
      <c r="FH134">
        <v>0</v>
      </c>
      <c r="FI134">
        <v>0</v>
      </c>
      <c r="FJ134">
        <v>2</v>
      </c>
    </row>
    <row r="135" spans="1:166" x14ac:dyDescent="0.3">
      <c r="A135" t="s">
        <v>596</v>
      </c>
      <c r="B135" t="s">
        <v>597</v>
      </c>
      <c r="C135" t="s">
        <v>1401</v>
      </c>
      <c r="D135">
        <v>2016</v>
      </c>
      <c r="E135" t="s">
        <v>573</v>
      </c>
      <c r="F135">
        <v>12</v>
      </c>
      <c r="G135">
        <v>8</v>
      </c>
      <c r="H135" t="s">
        <v>166</v>
      </c>
      <c r="I135">
        <v>470</v>
      </c>
      <c r="J135" t="s">
        <v>166</v>
      </c>
      <c r="K135">
        <v>470</v>
      </c>
      <c r="L135" t="s">
        <v>167</v>
      </c>
      <c r="M135">
        <v>469</v>
      </c>
      <c r="N135" t="s">
        <v>167</v>
      </c>
      <c r="O135" t="s">
        <v>598</v>
      </c>
      <c r="P135" t="s">
        <v>599</v>
      </c>
      <c r="Q135">
        <v>0</v>
      </c>
      <c r="R135">
        <v>3.9359299999999998E-3</v>
      </c>
      <c r="T135" t="s">
        <v>444</v>
      </c>
      <c r="V135" t="s">
        <v>1391</v>
      </c>
      <c r="W135" t="s">
        <v>1350</v>
      </c>
      <c r="Y135" t="s">
        <v>197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10</v>
      </c>
    </row>
    <row r="136" spans="1:166" x14ac:dyDescent="0.3">
      <c r="A136" t="s">
        <v>600</v>
      </c>
      <c r="B136" t="s">
        <v>601</v>
      </c>
      <c r="C136" t="s">
        <v>1401</v>
      </c>
      <c r="D136">
        <v>2016</v>
      </c>
      <c r="E136" t="s">
        <v>573</v>
      </c>
      <c r="F136">
        <v>12</v>
      </c>
      <c r="G136">
        <v>8</v>
      </c>
      <c r="H136" t="s">
        <v>166</v>
      </c>
      <c r="I136">
        <v>470</v>
      </c>
      <c r="J136" t="s">
        <v>166</v>
      </c>
      <c r="K136">
        <v>470</v>
      </c>
      <c r="L136" t="s">
        <v>167</v>
      </c>
      <c r="M136">
        <v>469</v>
      </c>
      <c r="N136" t="s">
        <v>167</v>
      </c>
      <c r="O136" t="s">
        <v>602</v>
      </c>
      <c r="P136" t="s">
        <v>544</v>
      </c>
      <c r="Q136">
        <v>0</v>
      </c>
      <c r="R136">
        <v>1.91916E-3</v>
      </c>
      <c r="T136" t="s">
        <v>444</v>
      </c>
      <c r="V136" t="s">
        <v>1391</v>
      </c>
      <c r="W136" t="s">
        <v>1350</v>
      </c>
      <c r="Y136" t="s">
        <v>197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575</v>
      </c>
    </row>
    <row r="137" spans="1:166" x14ac:dyDescent="0.3">
      <c r="A137" t="s">
        <v>603</v>
      </c>
      <c r="B137" t="s">
        <v>604</v>
      </c>
      <c r="C137" t="s">
        <v>1401</v>
      </c>
      <c r="D137">
        <v>2016</v>
      </c>
      <c r="E137" t="s">
        <v>573</v>
      </c>
      <c r="F137">
        <v>-1.9</v>
      </c>
      <c r="G137">
        <v>30</v>
      </c>
      <c r="H137" t="s">
        <v>166</v>
      </c>
      <c r="I137">
        <v>470</v>
      </c>
      <c r="J137" t="s">
        <v>166</v>
      </c>
      <c r="K137">
        <v>470</v>
      </c>
      <c r="L137" t="s">
        <v>167</v>
      </c>
      <c r="M137">
        <v>469</v>
      </c>
      <c r="N137" t="s">
        <v>167</v>
      </c>
      <c r="O137" t="s">
        <v>605</v>
      </c>
      <c r="P137" t="s">
        <v>606</v>
      </c>
      <c r="Q137">
        <v>0</v>
      </c>
      <c r="R137">
        <v>2.0536299999999999E-3</v>
      </c>
      <c r="T137" t="s">
        <v>444</v>
      </c>
      <c r="V137" t="s">
        <v>1391</v>
      </c>
      <c r="W137" t="s">
        <v>1350</v>
      </c>
      <c r="Y137" t="s">
        <v>607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1</v>
      </c>
      <c r="EU137">
        <v>0</v>
      </c>
      <c r="EV137">
        <v>0</v>
      </c>
      <c r="EW137">
        <v>0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0</v>
      </c>
      <c r="FG137">
        <v>1</v>
      </c>
      <c r="FH137">
        <v>0</v>
      </c>
      <c r="FI137">
        <v>0</v>
      </c>
      <c r="FJ137">
        <v>52</v>
      </c>
    </row>
    <row r="138" spans="1:166" x14ac:dyDescent="0.3">
      <c r="A138" t="s">
        <v>608</v>
      </c>
      <c r="B138" t="s">
        <v>609</v>
      </c>
      <c r="C138" t="s">
        <v>1401</v>
      </c>
      <c r="D138">
        <v>2016</v>
      </c>
      <c r="E138" t="s">
        <v>573</v>
      </c>
      <c r="F138">
        <v>-33</v>
      </c>
      <c r="G138">
        <v>18</v>
      </c>
      <c r="H138" t="s">
        <v>166</v>
      </c>
      <c r="I138">
        <v>470</v>
      </c>
      <c r="J138" t="s">
        <v>166</v>
      </c>
      <c r="K138">
        <v>470</v>
      </c>
      <c r="L138" t="s">
        <v>167</v>
      </c>
      <c r="M138">
        <v>469</v>
      </c>
      <c r="N138" t="s">
        <v>167</v>
      </c>
      <c r="O138" t="s">
        <v>610</v>
      </c>
      <c r="P138" t="s">
        <v>611</v>
      </c>
      <c r="Q138">
        <v>0</v>
      </c>
      <c r="R138">
        <v>4.8344600000000001E-4</v>
      </c>
      <c r="T138" t="s">
        <v>444</v>
      </c>
      <c r="V138" t="s">
        <v>1391</v>
      </c>
      <c r="W138" t="s">
        <v>1350</v>
      </c>
      <c r="Y138" t="s">
        <v>448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1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1</v>
      </c>
      <c r="EZ138">
        <v>0</v>
      </c>
      <c r="FA138">
        <v>0</v>
      </c>
      <c r="FB138">
        <v>1</v>
      </c>
      <c r="FC138">
        <v>1</v>
      </c>
      <c r="FD138">
        <v>1</v>
      </c>
      <c r="FE138">
        <v>0</v>
      </c>
      <c r="FF138">
        <v>0</v>
      </c>
      <c r="FG138">
        <v>1</v>
      </c>
      <c r="FH138">
        <v>0</v>
      </c>
      <c r="FI138">
        <v>0</v>
      </c>
      <c r="FJ138">
        <v>1</v>
      </c>
    </row>
    <row r="139" spans="1:166" x14ac:dyDescent="0.3">
      <c r="A139" t="s">
        <v>612</v>
      </c>
      <c r="B139" t="s">
        <v>613</v>
      </c>
      <c r="C139" t="s">
        <v>1401</v>
      </c>
      <c r="D139">
        <v>2016</v>
      </c>
      <c r="E139" t="s">
        <v>573</v>
      </c>
      <c r="F139">
        <v>-33</v>
      </c>
      <c r="G139">
        <v>18</v>
      </c>
      <c r="H139" t="s">
        <v>166</v>
      </c>
      <c r="I139">
        <v>470</v>
      </c>
      <c r="J139" t="s">
        <v>166</v>
      </c>
      <c r="K139">
        <v>470</v>
      </c>
      <c r="L139" t="s">
        <v>167</v>
      </c>
      <c r="M139">
        <v>469</v>
      </c>
      <c r="N139" t="s">
        <v>167</v>
      </c>
      <c r="O139" t="s">
        <v>614</v>
      </c>
      <c r="P139" t="s">
        <v>615</v>
      </c>
      <c r="Q139">
        <v>0</v>
      </c>
      <c r="R139">
        <v>2.2164200000000002E-3</v>
      </c>
      <c r="T139" t="s">
        <v>444</v>
      </c>
      <c r="V139" t="s">
        <v>1391</v>
      </c>
      <c r="W139" t="s">
        <v>1350</v>
      </c>
      <c r="Y139" t="s">
        <v>448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0</v>
      </c>
      <c r="FC139">
        <v>1</v>
      </c>
      <c r="FD139">
        <v>1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164</v>
      </c>
    </row>
    <row r="140" spans="1:166" x14ac:dyDescent="0.3">
      <c r="A140" t="s">
        <v>616</v>
      </c>
      <c r="B140" t="s">
        <v>617</v>
      </c>
      <c r="C140" t="s">
        <v>1401</v>
      </c>
      <c r="D140">
        <v>2016</v>
      </c>
      <c r="E140" t="s">
        <v>573</v>
      </c>
      <c r="F140">
        <v>-33</v>
      </c>
      <c r="G140">
        <v>18</v>
      </c>
      <c r="H140" t="s">
        <v>166</v>
      </c>
      <c r="I140">
        <v>470</v>
      </c>
      <c r="J140" t="s">
        <v>166</v>
      </c>
      <c r="K140">
        <v>470</v>
      </c>
      <c r="L140" t="s">
        <v>167</v>
      </c>
      <c r="M140">
        <v>469</v>
      </c>
      <c r="N140" t="s">
        <v>167</v>
      </c>
      <c r="O140" t="s">
        <v>614</v>
      </c>
      <c r="P140" t="s">
        <v>606</v>
      </c>
      <c r="Q140">
        <v>0</v>
      </c>
      <c r="R140">
        <v>2.0536299999999999E-3</v>
      </c>
      <c r="T140" t="s">
        <v>444</v>
      </c>
      <c r="V140" t="s">
        <v>1391</v>
      </c>
      <c r="W140" t="s">
        <v>1350</v>
      </c>
      <c r="Y140" t="s">
        <v>448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1</v>
      </c>
      <c r="EZ140">
        <v>0</v>
      </c>
      <c r="FA140">
        <v>1</v>
      </c>
      <c r="FB140">
        <v>0</v>
      </c>
      <c r="FC140">
        <v>1</v>
      </c>
      <c r="FD140">
        <v>1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164</v>
      </c>
    </row>
    <row r="141" spans="1:166" x14ac:dyDescent="0.3">
      <c r="A141" t="s">
        <v>618</v>
      </c>
      <c r="B141" t="s">
        <v>619</v>
      </c>
      <c r="E141" t="s">
        <v>620</v>
      </c>
      <c r="F141">
        <v>27</v>
      </c>
      <c r="G141">
        <v>17</v>
      </c>
      <c r="H141" t="s">
        <v>166</v>
      </c>
      <c r="I141">
        <v>470</v>
      </c>
      <c r="J141" t="s">
        <v>166</v>
      </c>
      <c r="K141">
        <v>470</v>
      </c>
      <c r="L141" t="s">
        <v>167</v>
      </c>
      <c r="M141">
        <v>469</v>
      </c>
      <c r="N141" t="s">
        <v>167</v>
      </c>
      <c r="O141" t="s">
        <v>621</v>
      </c>
      <c r="P141" t="s">
        <v>230</v>
      </c>
      <c r="Q141">
        <v>0</v>
      </c>
      <c r="R141">
        <v>5.3460599999999997E-3</v>
      </c>
      <c r="S141" t="s">
        <v>1299</v>
      </c>
      <c r="T141" t="s">
        <v>444</v>
      </c>
      <c r="V141" t="s">
        <v>1346</v>
      </c>
      <c r="W141" t="s">
        <v>1347</v>
      </c>
      <c r="Y141" t="s">
        <v>622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1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1</v>
      </c>
      <c r="FB141">
        <v>0</v>
      </c>
      <c r="FC141">
        <v>1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602</v>
      </c>
    </row>
    <row r="142" spans="1:166" x14ac:dyDescent="0.3">
      <c r="A142" t="s">
        <v>623</v>
      </c>
      <c r="B142" t="s">
        <v>624</v>
      </c>
      <c r="E142" t="s">
        <v>620</v>
      </c>
      <c r="F142">
        <v>27</v>
      </c>
      <c r="G142">
        <v>17</v>
      </c>
      <c r="H142" t="s">
        <v>166</v>
      </c>
      <c r="I142">
        <v>470</v>
      </c>
      <c r="J142" t="s">
        <v>166</v>
      </c>
      <c r="K142">
        <v>470</v>
      </c>
      <c r="L142" t="s">
        <v>167</v>
      </c>
      <c r="M142">
        <v>469</v>
      </c>
      <c r="N142" t="s">
        <v>167</v>
      </c>
      <c r="O142" t="s">
        <v>625</v>
      </c>
      <c r="P142" t="s">
        <v>251</v>
      </c>
      <c r="Q142">
        <v>0</v>
      </c>
      <c r="R142">
        <v>1.0072E-3</v>
      </c>
      <c r="S142" t="s">
        <v>1300</v>
      </c>
      <c r="T142" t="s">
        <v>444</v>
      </c>
      <c r="V142" t="s">
        <v>1346</v>
      </c>
      <c r="W142" t="s">
        <v>1347</v>
      </c>
      <c r="Y142" t="s">
        <v>622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1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0</v>
      </c>
      <c r="FF142">
        <v>1</v>
      </c>
      <c r="FG142">
        <v>0</v>
      </c>
      <c r="FH142">
        <v>0</v>
      </c>
      <c r="FI142">
        <v>0</v>
      </c>
      <c r="FJ142">
        <v>1</v>
      </c>
    </row>
    <row r="143" spans="1:166" x14ac:dyDescent="0.3">
      <c r="A143" t="s">
        <v>626</v>
      </c>
      <c r="B143" t="s">
        <v>627</v>
      </c>
      <c r="E143" t="s">
        <v>620</v>
      </c>
      <c r="F143">
        <v>27</v>
      </c>
      <c r="G143">
        <v>17</v>
      </c>
      <c r="H143" t="s">
        <v>166</v>
      </c>
      <c r="I143">
        <v>470</v>
      </c>
      <c r="J143" t="s">
        <v>166</v>
      </c>
      <c r="K143">
        <v>470</v>
      </c>
      <c r="L143" t="s">
        <v>167</v>
      </c>
      <c r="M143">
        <v>469</v>
      </c>
      <c r="N143" t="s">
        <v>167</v>
      </c>
      <c r="O143" t="s">
        <v>628</v>
      </c>
      <c r="P143" t="s">
        <v>467</v>
      </c>
      <c r="Q143">
        <v>0</v>
      </c>
      <c r="R143">
        <v>2.8831000000000001E-4</v>
      </c>
      <c r="S143" t="s">
        <v>1300</v>
      </c>
      <c r="T143" t="s">
        <v>444</v>
      </c>
      <c r="V143" t="s">
        <v>1346</v>
      </c>
      <c r="W143" t="s">
        <v>1347</v>
      </c>
      <c r="Y143" t="s">
        <v>622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1</v>
      </c>
      <c r="FB143">
        <v>0</v>
      </c>
      <c r="FC143">
        <v>1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</row>
    <row r="144" spans="1:166" x14ac:dyDescent="0.3">
      <c r="A144" t="s">
        <v>629</v>
      </c>
      <c r="B144" t="s">
        <v>630</v>
      </c>
      <c r="E144" t="s">
        <v>620</v>
      </c>
      <c r="F144">
        <v>27</v>
      </c>
      <c r="G144">
        <v>17</v>
      </c>
      <c r="H144" t="s">
        <v>166</v>
      </c>
      <c r="I144">
        <v>470</v>
      </c>
      <c r="J144" t="s">
        <v>166</v>
      </c>
      <c r="K144">
        <v>470</v>
      </c>
      <c r="L144" t="s">
        <v>167</v>
      </c>
      <c r="M144">
        <v>469</v>
      </c>
      <c r="N144" t="s">
        <v>167</v>
      </c>
      <c r="O144" t="s">
        <v>628</v>
      </c>
      <c r="P144" t="s">
        <v>471</v>
      </c>
      <c r="Q144">
        <v>0</v>
      </c>
      <c r="R144">
        <v>3.36872E-4</v>
      </c>
      <c r="S144" t="s">
        <v>1300</v>
      </c>
      <c r="T144" t="s">
        <v>444</v>
      </c>
      <c r="V144" t="s">
        <v>1346</v>
      </c>
      <c r="W144" t="s">
        <v>1347</v>
      </c>
      <c r="Y144" t="s">
        <v>622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1</v>
      </c>
      <c r="FB144">
        <v>0</v>
      </c>
      <c r="FC144">
        <v>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</row>
    <row r="145" spans="1:166" x14ac:dyDescent="0.3">
      <c r="A145" t="s">
        <v>631</v>
      </c>
      <c r="B145" t="s">
        <v>632</v>
      </c>
      <c r="E145" t="s">
        <v>620</v>
      </c>
      <c r="F145">
        <v>27</v>
      </c>
      <c r="G145">
        <v>17</v>
      </c>
      <c r="H145" t="s">
        <v>166</v>
      </c>
      <c r="I145">
        <v>470</v>
      </c>
      <c r="J145" t="s">
        <v>166</v>
      </c>
      <c r="K145">
        <v>470</v>
      </c>
      <c r="L145" t="s">
        <v>167</v>
      </c>
      <c r="M145">
        <v>469</v>
      </c>
      <c r="N145" t="s">
        <v>167</v>
      </c>
      <c r="O145" t="s">
        <v>633</v>
      </c>
      <c r="P145" t="s">
        <v>169</v>
      </c>
      <c r="Q145">
        <v>0</v>
      </c>
      <c r="R145">
        <v>9.0612399999999904E-4</v>
      </c>
      <c r="S145" t="s">
        <v>1300</v>
      </c>
      <c r="T145" t="s">
        <v>444</v>
      </c>
      <c r="V145" t="s">
        <v>1346</v>
      </c>
      <c r="W145" t="s">
        <v>1347</v>
      </c>
      <c r="Y145" t="s">
        <v>622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25</v>
      </c>
    </row>
    <row r="146" spans="1:166" x14ac:dyDescent="0.3">
      <c r="A146" t="s">
        <v>634</v>
      </c>
      <c r="B146" t="s">
        <v>635</v>
      </c>
      <c r="E146" t="s">
        <v>620</v>
      </c>
      <c r="F146">
        <v>27</v>
      </c>
      <c r="G146">
        <v>17</v>
      </c>
      <c r="H146" t="s">
        <v>166</v>
      </c>
      <c r="I146">
        <v>470</v>
      </c>
      <c r="J146" t="s">
        <v>166</v>
      </c>
      <c r="K146">
        <v>470</v>
      </c>
      <c r="L146" t="s">
        <v>167</v>
      </c>
      <c r="M146">
        <v>469</v>
      </c>
      <c r="N146" t="s">
        <v>167</v>
      </c>
      <c r="O146" t="s">
        <v>621</v>
      </c>
      <c r="P146" t="s">
        <v>230</v>
      </c>
      <c r="Q146">
        <v>0</v>
      </c>
      <c r="R146">
        <v>5.3460599999999997E-3</v>
      </c>
      <c r="S146" t="s">
        <v>1300</v>
      </c>
      <c r="T146" t="s">
        <v>444</v>
      </c>
      <c r="V146" t="s">
        <v>1346</v>
      </c>
      <c r="W146" t="s">
        <v>1347</v>
      </c>
      <c r="Y146" t="s">
        <v>622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1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1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1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602</v>
      </c>
    </row>
    <row r="147" spans="1:166" x14ac:dyDescent="0.3">
      <c r="A147" t="s">
        <v>636</v>
      </c>
      <c r="B147" t="s">
        <v>637</v>
      </c>
      <c r="E147" t="s">
        <v>620</v>
      </c>
      <c r="F147">
        <v>27</v>
      </c>
      <c r="G147">
        <v>17</v>
      </c>
      <c r="H147" t="s">
        <v>166</v>
      </c>
      <c r="I147">
        <v>470</v>
      </c>
      <c r="J147" t="s">
        <v>166</v>
      </c>
      <c r="K147">
        <v>470</v>
      </c>
      <c r="L147" t="s">
        <v>167</v>
      </c>
      <c r="M147">
        <v>469</v>
      </c>
      <c r="N147" t="s">
        <v>167</v>
      </c>
      <c r="O147" t="s">
        <v>633</v>
      </c>
      <c r="P147" t="s">
        <v>184</v>
      </c>
      <c r="Q147">
        <v>0</v>
      </c>
      <c r="R147">
        <v>8.3072799999999998E-4</v>
      </c>
      <c r="S147" t="s">
        <v>1301</v>
      </c>
      <c r="T147" t="s">
        <v>444</v>
      </c>
      <c r="V147" t="s">
        <v>1346</v>
      </c>
      <c r="W147" t="s">
        <v>1347</v>
      </c>
      <c r="Y147" t="s">
        <v>622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1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25</v>
      </c>
    </row>
    <row r="148" spans="1:166" x14ac:dyDescent="0.3">
      <c r="A148" t="s">
        <v>638</v>
      </c>
      <c r="B148" t="s">
        <v>639</v>
      </c>
      <c r="E148" t="s">
        <v>620</v>
      </c>
      <c r="F148">
        <v>27</v>
      </c>
      <c r="G148">
        <v>17</v>
      </c>
      <c r="H148" t="s">
        <v>166</v>
      </c>
      <c r="I148">
        <v>470</v>
      </c>
      <c r="J148" t="s">
        <v>166</v>
      </c>
      <c r="K148">
        <v>470</v>
      </c>
      <c r="L148" t="s">
        <v>167</v>
      </c>
      <c r="M148">
        <v>469</v>
      </c>
      <c r="N148" t="s">
        <v>167</v>
      </c>
      <c r="O148" t="s">
        <v>628</v>
      </c>
      <c r="P148" t="s">
        <v>467</v>
      </c>
      <c r="Q148">
        <v>0</v>
      </c>
      <c r="R148">
        <v>2.8831000000000001E-4</v>
      </c>
      <c r="S148" t="s">
        <v>1302</v>
      </c>
      <c r="T148" t="s">
        <v>444</v>
      </c>
      <c r="V148" t="s">
        <v>1346</v>
      </c>
      <c r="W148" t="s">
        <v>1347</v>
      </c>
      <c r="Y148" t="s">
        <v>622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1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</row>
    <row r="149" spans="1:166" x14ac:dyDescent="0.3">
      <c r="A149" t="s">
        <v>640</v>
      </c>
      <c r="B149" t="s">
        <v>641</v>
      </c>
      <c r="E149" t="s">
        <v>620</v>
      </c>
      <c r="F149">
        <v>27</v>
      </c>
      <c r="G149">
        <v>17</v>
      </c>
      <c r="H149" t="s">
        <v>166</v>
      </c>
      <c r="I149">
        <v>470</v>
      </c>
      <c r="J149" t="s">
        <v>166</v>
      </c>
      <c r="K149">
        <v>470</v>
      </c>
      <c r="L149" t="s">
        <v>167</v>
      </c>
      <c r="M149">
        <v>469</v>
      </c>
      <c r="N149" t="s">
        <v>167</v>
      </c>
      <c r="O149" t="s">
        <v>633</v>
      </c>
      <c r="P149" t="s">
        <v>184</v>
      </c>
      <c r="Q149">
        <v>0</v>
      </c>
      <c r="R149">
        <v>8.3072799999999998E-4</v>
      </c>
      <c r="S149" t="s">
        <v>1299</v>
      </c>
      <c r="T149" t="s">
        <v>444</v>
      </c>
      <c r="V149" t="s">
        <v>1346</v>
      </c>
      <c r="W149" t="s">
        <v>1347</v>
      </c>
      <c r="Y149" t="s">
        <v>622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25</v>
      </c>
    </row>
    <row r="150" spans="1:166" x14ac:dyDescent="0.3">
      <c r="A150" t="s">
        <v>642</v>
      </c>
      <c r="B150" t="s">
        <v>643</v>
      </c>
      <c r="E150" t="s">
        <v>620</v>
      </c>
      <c r="F150">
        <v>27</v>
      </c>
      <c r="G150">
        <v>17</v>
      </c>
      <c r="H150" t="s">
        <v>166</v>
      </c>
      <c r="I150">
        <v>470</v>
      </c>
      <c r="J150" t="s">
        <v>166</v>
      </c>
      <c r="K150">
        <v>470</v>
      </c>
      <c r="L150" t="s">
        <v>167</v>
      </c>
      <c r="M150">
        <v>469</v>
      </c>
      <c r="N150" t="s">
        <v>167</v>
      </c>
      <c r="O150" t="s">
        <v>644</v>
      </c>
      <c r="P150" t="s">
        <v>290</v>
      </c>
      <c r="Q150">
        <v>0</v>
      </c>
      <c r="R150">
        <v>5.3260299999999998E-4</v>
      </c>
      <c r="S150" t="s">
        <v>1298</v>
      </c>
      <c r="T150" t="s">
        <v>444</v>
      </c>
      <c r="V150" t="s">
        <v>1346</v>
      </c>
      <c r="W150" t="s">
        <v>1347</v>
      </c>
      <c r="Y150" t="s">
        <v>622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1</v>
      </c>
      <c r="FH150">
        <v>0</v>
      </c>
      <c r="FI150">
        <v>0</v>
      </c>
      <c r="FJ150">
        <v>2</v>
      </c>
    </row>
    <row r="151" spans="1:166" x14ac:dyDescent="0.3">
      <c r="A151" t="s">
        <v>645</v>
      </c>
      <c r="B151" t="s">
        <v>646</v>
      </c>
      <c r="E151" t="s">
        <v>620</v>
      </c>
      <c r="F151">
        <v>27</v>
      </c>
      <c r="G151">
        <v>17</v>
      </c>
      <c r="H151" t="s">
        <v>166</v>
      </c>
      <c r="I151">
        <v>470</v>
      </c>
      <c r="J151" t="s">
        <v>166</v>
      </c>
      <c r="K151">
        <v>470</v>
      </c>
      <c r="L151" t="s">
        <v>167</v>
      </c>
      <c r="M151">
        <v>469</v>
      </c>
      <c r="N151" t="s">
        <v>167</v>
      </c>
      <c r="O151" t="s">
        <v>647</v>
      </c>
      <c r="P151" t="s">
        <v>648</v>
      </c>
      <c r="Q151">
        <v>0</v>
      </c>
      <c r="R151">
        <v>3.6668600000000001E-3</v>
      </c>
      <c r="S151" t="s">
        <v>1298</v>
      </c>
      <c r="T151" t="s">
        <v>444</v>
      </c>
      <c r="V151" t="s">
        <v>1346</v>
      </c>
      <c r="W151" t="s">
        <v>1347</v>
      </c>
      <c r="Y151" t="s">
        <v>622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1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1</v>
      </c>
      <c r="FH151">
        <v>0</v>
      </c>
      <c r="FI151">
        <v>0</v>
      </c>
      <c r="FJ151">
        <v>136</v>
      </c>
    </row>
    <row r="152" spans="1:166" x14ac:dyDescent="0.3">
      <c r="A152" t="s">
        <v>649</v>
      </c>
      <c r="B152" t="s">
        <v>650</v>
      </c>
      <c r="E152" t="s">
        <v>620</v>
      </c>
      <c r="F152">
        <v>27</v>
      </c>
      <c r="G152">
        <v>17</v>
      </c>
      <c r="H152" t="s">
        <v>166</v>
      </c>
      <c r="I152">
        <v>470</v>
      </c>
      <c r="J152" t="s">
        <v>166</v>
      </c>
      <c r="K152">
        <v>470</v>
      </c>
      <c r="L152" t="s">
        <v>167</v>
      </c>
      <c r="M152">
        <v>469</v>
      </c>
      <c r="N152" t="s">
        <v>167</v>
      </c>
      <c r="O152" t="s">
        <v>651</v>
      </c>
      <c r="P152" t="s">
        <v>330</v>
      </c>
      <c r="Q152">
        <v>0</v>
      </c>
      <c r="R152">
        <v>9.3133399999999905E-4</v>
      </c>
      <c r="S152" t="s">
        <v>1298</v>
      </c>
      <c r="T152" t="s">
        <v>444</v>
      </c>
      <c r="V152" t="s">
        <v>1346</v>
      </c>
      <c r="W152" t="s">
        <v>1347</v>
      </c>
      <c r="Y152" t="s">
        <v>622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2</v>
      </c>
    </row>
    <row r="153" spans="1:166" x14ac:dyDescent="0.3">
      <c r="A153" t="s">
        <v>652</v>
      </c>
      <c r="B153" t="s">
        <v>653</v>
      </c>
      <c r="E153" t="s">
        <v>620</v>
      </c>
      <c r="F153">
        <v>27</v>
      </c>
      <c r="G153">
        <v>17</v>
      </c>
      <c r="H153" t="s">
        <v>166</v>
      </c>
      <c r="I153">
        <v>470</v>
      </c>
      <c r="J153" t="s">
        <v>166</v>
      </c>
      <c r="K153">
        <v>470</v>
      </c>
      <c r="L153" t="s">
        <v>167</v>
      </c>
      <c r="M153">
        <v>469</v>
      </c>
      <c r="N153" t="s">
        <v>167</v>
      </c>
      <c r="O153" t="s">
        <v>654</v>
      </c>
      <c r="P153" t="s">
        <v>655</v>
      </c>
      <c r="Q153">
        <v>0</v>
      </c>
      <c r="R153">
        <v>7.3074100000000003E-4</v>
      </c>
      <c r="S153" t="s">
        <v>1303</v>
      </c>
      <c r="T153" t="s">
        <v>444</v>
      </c>
      <c r="V153" t="s">
        <v>1346</v>
      </c>
      <c r="W153" t="s">
        <v>1347</v>
      </c>
      <c r="Y153" t="s">
        <v>622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1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2</v>
      </c>
    </row>
    <row r="154" spans="1:166" x14ac:dyDescent="0.3">
      <c r="A154" t="s">
        <v>656</v>
      </c>
      <c r="B154" t="s">
        <v>657</v>
      </c>
      <c r="E154" t="s">
        <v>620</v>
      </c>
      <c r="F154">
        <v>27</v>
      </c>
      <c r="G154">
        <v>17</v>
      </c>
      <c r="H154" t="s">
        <v>166</v>
      </c>
      <c r="I154">
        <v>470</v>
      </c>
      <c r="J154" t="s">
        <v>166</v>
      </c>
      <c r="K154">
        <v>470</v>
      </c>
      <c r="L154" t="s">
        <v>167</v>
      </c>
      <c r="M154">
        <v>469</v>
      </c>
      <c r="N154" t="s">
        <v>167</v>
      </c>
      <c r="O154" t="s">
        <v>621</v>
      </c>
      <c r="P154" t="s">
        <v>658</v>
      </c>
      <c r="Q154">
        <v>0</v>
      </c>
      <c r="R154">
        <v>5.8082100000000003E-3</v>
      </c>
      <c r="S154" t="s">
        <v>1299</v>
      </c>
      <c r="T154" t="s">
        <v>444</v>
      </c>
      <c r="V154" t="s">
        <v>1346</v>
      </c>
      <c r="W154" t="s">
        <v>1347</v>
      </c>
      <c r="Y154" t="s">
        <v>622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1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602</v>
      </c>
    </row>
    <row r="155" spans="1:166" x14ac:dyDescent="0.3">
      <c r="A155" t="s">
        <v>659</v>
      </c>
      <c r="B155" t="s">
        <v>660</v>
      </c>
      <c r="E155" t="s">
        <v>620</v>
      </c>
      <c r="F155">
        <v>27</v>
      </c>
      <c r="G155">
        <v>17</v>
      </c>
      <c r="H155" t="s">
        <v>166</v>
      </c>
      <c r="I155">
        <v>470</v>
      </c>
      <c r="J155" t="s">
        <v>166</v>
      </c>
      <c r="K155">
        <v>470</v>
      </c>
      <c r="L155" t="s">
        <v>167</v>
      </c>
      <c r="M155">
        <v>469</v>
      </c>
      <c r="N155" t="s">
        <v>167</v>
      </c>
      <c r="O155" t="s">
        <v>647</v>
      </c>
      <c r="P155" t="s">
        <v>661</v>
      </c>
      <c r="Q155">
        <v>0</v>
      </c>
      <c r="R155">
        <v>3.6965499999999998E-3</v>
      </c>
      <c r="S155" t="s">
        <v>1299</v>
      </c>
      <c r="T155" t="s">
        <v>444</v>
      </c>
      <c r="V155" t="s">
        <v>1346</v>
      </c>
      <c r="W155" t="s">
        <v>1347</v>
      </c>
      <c r="Y155" t="s">
        <v>622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0</v>
      </c>
      <c r="FI155">
        <v>0</v>
      </c>
      <c r="FJ155">
        <v>136</v>
      </c>
    </row>
    <row r="156" spans="1:166" x14ac:dyDescent="0.3">
      <c r="A156" t="s">
        <v>662</v>
      </c>
      <c r="B156" t="s">
        <v>663</v>
      </c>
      <c r="E156" t="s">
        <v>620</v>
      </c>
      <c r="F156">
        <v>27</v>
      </c>
      <c r="G156">
        <v>17</v>
      </c>
      <c r="H156" t="s">
        <v>166</v>
      </c>
      <c r="I156">
        <v>470</v>
      </c>
      <c r="J156" t="s">
        <v>166</v>
      </c>
      <c r="K156">
        <v>470</v>
      </c>
      <c r="L156" t="s">
        <v>167</v>
      </c>
      <c r="M156">
        <v>469</v>
      </c>
      <c r="N156" t="s">
        <v>167</v>
      </c>
      <c r="O156" t="s">
        <v>647</v>
      </c>
      <c r="P156" t="s">
        <v>648</v>
      </c>
      <c r="Q156">
        <v>0</v>
      </c>
      <c r="R156">
        <v>3.6668600000000001E-3</v>
      </c>
      <c r="S156" t="s">
        <v>1300</v>
      </c>
      <c r="T156" t="s">
        <v>444</v>
      </c>
      <c r="V156" t="s">
        <v>1346</v>
      </c>
      <c r="W156" t="s">
        <v>1347</v>
      </c>
      <c r="Y156" t="s">
        <v>622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0</v>
      </c>
      <c r="FJ156" t="s">
        <v>198</v>
      </c>
    </row>
    <row r="157" spans="1:166" x14ac:dyDescent="0.3">
      <c r="A157" t="s">
        <v>664</v>
      </c>
      <c r="B157" t="s">
        <v>665</v>
      </c>
      <c r="E157" t="s">
        <v>620</v>
      </c>
      <c r="F157">
        <v>27</v>
      </c>
      <c r="G157">
        <v>17</v>
      </c>
      <c r="H157" t="s">
        <v>166</v>
      </c>
      <c r="I157">
        <v>470</v>
      </c>
      <c r="J157" t="s">
        <v>166</v>
      </c>
      <c r="K157">
        <v>470</v>
      </c>
      <c r="L157" t="s">
        <v>167</v>
      </c>
      <c r="M157">
        <v>469</v>
      </c>
      <c r="N157" t="s">
        <v>167</v>
      </c>
      <c r="O157" t="s">
        <v>633</v>
      </c>
      <c r="P157" t="s">
        <v>184</v>
      </c>
      <c r="Q157">
        <v>0</v>
      </c>
      <c r="R157">
        <v>8.3072799999999998E-4</v>
      </c>
      <c r="S157" t="s">
        <v>1300</v>
      </c>
      <c r="T157" t="s">
        <v>444</v>
      </c>
      <c r="V157" t="s">
        <v>1346</v>
      </c>
      <c r="W157" t="s">
        <v>1347</v>
      </c>
      <c r="Y157" t="s">
        <v>622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1</v>
      </c>
      <c r="AL157">
        <v>1</v>
      </c>
      <c r="AM157">
        <v>1</v>
      </c>
      <c r="AN157">
        <v>0</v>
      </c>
      <c r="AO157">
        <v>0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25</v>
      </c>
    </row>
    <row r="158" spans="1:166" x14ac:dyDescent="0.3">
      <c r="A158" t="s">
        <v>666</v>
      </c>
      <c r="B158" t="s">
        <v>667</v>
      </c>
      <c r="E158" t="s">
        <v>620</v>
      </c>
      <c r="F158">
        <v>27</v>
      </c>
      <c r="G158">
        <v>17</v>
      </c>
      <c r="H158" t="s">
        <v>166</v>
      </c>
      <c r="I158">
        <v>470</v>
      </c>
      <c r="J158" t="s">
        <v>166</v>
      </c>
      <c r="K158">
        <v>470</v>
      </c>
      <c r="L158" t="s">
        <v>167</v>
      </c>
      <c r="M158">
        <v>469</v>
      </c>
      <c r="N158" t="s">
        <v>167</v>
      </c>
      <c r="O158" t="s">
        <v>654</v>
      </c>
      <c r="P158" t="s">
        <v>655</v>
      </c>
      <c r="Q158">
        <v>0</v>
      </c>
      <c r="R158">
        <v>7.3074100000000003E-4</v>
      </c>
      <c r="S158" t="s">
        <v>1304</v>
      </c>
      <c r="T158" t="s">
        <v>444</v>
      </c>
      <c r="V158" t="s">
        <v>1346</v>
      </c>
      <c r="W158" t="s">
        <v>1347</v>
      </c>
      <c r="Y158" t="s">
        <v>622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0</v>
      </c>
      <c r="FJ158">
        <v>2</v>
      </c>
    </row>
    <row r="159" spans="1:166" x14ac:dyDescent="0.3">
      <c r="A159" t="s">
        <v>668</v>
      </c>
      <c r="B159" t="s">
        <v>669</v>
      </c>
      <c r="E159" t="s">
        <v>620</v>
      </c>
      <c r="F159">
        <v>27</v>
      </c>
      <c r="G159">
        <v>17</v>
      </c>
      <c r="H159" t="s">
        <v>166</v>
      </c>
      <c r="I159">
        <v>470</v>
      </c>
      <c r="J159" t="s">
        <v>166</v>
      </c>
      <c r="K159">
        <v>470</v>
      </c>
      <c r="L159" t="s">
        <v>167</v>
      </c>
      <c r="M159">
        <v>469</v>
      </c>
      <c r="N159" t="s">
        <v>167</v>
      </c>
      <c r="O159" t="s">
        <v>647</v>
      </c>
      <c r="P159" t="s">
        <v>670</v>
      </c>
      <c r="Q159">
        <v>0</v>
      </c>
      <c r="R159">
        <v>3.9962900000000004E-3</v>
      </c>
      <c r="S159" t="s">
        <v>1298</v>
      </c>
      <c r="T159" t="s">
        <v>444</v>
      </c>
      <c r="V159" t="s">
        <v>1346</v>
      </c>
      <c r="W159" t="s">
        <v>1347</v>
      </c>
      <c r="Y159" t="s">
        <v>622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1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136</v>
      </c>
    </row>
    <row r="160" spans="1:166" x14ac:dyDescent="0.3">
      <c r="A160" t="s">
        <v>671</v>
      </c>
      <c r="B160" t="s">
        <v>672</v>
      </c>
      <c r="E160" t="s">
        <v>620</v>
      </c>
      <c r="F160">
        <v>27</v>
      </c>
      <c r="G160">
        <v>17</v>
      </c>
      <c r="H160" t="s">
        <v>166</v>
      </c>
      <c r="I160">
        <v>470</v>
      </c>
      <c r="J160" t="s">
        <v>166</v>
      </c>
      <c r="K160">
        <v>470</v>
      </c>
      <c r="L160" t="s">
        <v>167</v>
      </c>
      <c r="M160">
        <v>469</v>
      </c>
      <c r="N160" t="s">
        <v>167</v>
      </c>
      <c r="O160" t="s">
        <v>673</v>
      </c>
      <c r="P160" t="s">
        <v>674</v>
      </c>
      <c r="Q160">
        <v>0</v>
      </c>
      <c r="R160">
        <v>1.4438700000000001E-3</v>
      </c>
      <c r="S160" t="s">
        <v>1300</v>
      </c>
      <c r="T160" t="s">
        <v>444</v>
      </c>
      <c r="V160" t="s">
        <v>1346</v>
      </c>
      <c r="W160" t="s">
        <v>1347</v>
      </c>
      <c r="Y160" t="s">
        <v>622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2</v>
      </c>
    </row>
    <row r="161" spans="1:166" x14ac:dyDescent="0.3">
      <c r="A161" t="s">
        <v>675</v>
      </c>
      <c r="B161" t="s">
        <v>676</v>
      </c>
      <c r="E161" t="s">
        <v>620</v>
      </c>
      <c r="F161">
        <v>27</v>
      </c>
      <c r="G161">
        <v>17</v>
      </c>
      <c r="H161" t="s">
        <v>166</v>
      </c>
      <c r="I161">
        <v>470</v>
      </c>
      <c r="J161" t="s">
        <v>166</v>
      </c>
      <c r="K161">
        <v>470</v>
      </c>
      <c r="L161" t="s">
        <v>167</v>
      </c>
      <c r="M161">
        <v>469</v>
      </c>
      <c r="N161" t="s">
        <v>167</v>
      </c>
      <c r="O161" t="s">
        <v>677</v>
      </c>
      <c r="P161" t="s">
        <v>678</v>
      </c>
      <c r="Q161">
        <v>0</v>
      </c>
      <c r="R161">
        <v>1.5483199999999999E-3</v>
      </c>
      <c r="S161" t="s">
        <v>1300</v>
      </c>
      <c r="T161" t="s">
        <v>444</v>
      </c>
      <c r="V161" t="s">
        <v>1346</v>
      </c>
      <c r="W161" t="s">
        <v>1347</v>
      </c>
      <c r="Y161" t="s">
        <v>622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2</v>
      </c>
    </row>
    <row r="162" spans="1:166" x14ac:dyDescent="0.3">
      <c r="A162" t="s">
        <v>679</v>
      </c>
      <c r="B162" t="s">
        <v>680</v>
      </c>
      <c r="E162" t="s">
        <v>620</v>
      </c>
      <c r="F162">
        <v>27</v>
      </c>
      <c r="G162">
        <v>17</v>
      </c>
      <c r="H162" t="s">
        <v>166</v>
      </c>
      <c r="I162">
        <v>470</v>
      </c>
      <c r="J162" t="s">
        <v>166</v>
      </c>
      <c r="K162">
        <v>470</v>
      </c>
      <c r="L162" t="s">
        <v>167</v>
      </c>
      <c r="M162">
        <v>469</v>
      </c>
      <c r="N162" t="s">
        <v>167</v>
      </c>
      <c r="O162" t="s">
        <v>647</v>
      </c>
      <c r="P162" t="s">
        <v>599</v>
      </c>
      <c r="Q162">
        <v>0</v>
      </c>
      <c r="R162">
        <v>3.9359299999999998E-3</v>
      </c>
      <c r="S162" t="s">
        <v>1305</v>
      </c>
      <c r="T162" t="s">
        <v>444</v>
      </c>
      <c r="V162" t="s">
        <v>1346</v>
      </c>
      <c r="W162" t="s">
        <v>1347</v>
      </c>
      <c r="Y162" t="s">
        <v>622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136</v>
      </c>
    </row>
    <row r="163" spans="1:166" x14ac:dyDescent="0.3">
      <c r="A163" t="s">
        <v>681</v>
      </c>
      <c r="B163" t="s">
        <v>682</v>
      </c>
      <c r="E163" t="s">
        <v>683</v>
      </c>
      <c r="F163">
        <v>26</v>
      </c>
      <c r="G163">
        <v>29</v>
      </c>
      <c r="H163" t="s">
        <v>166</v>
      </c>
      <c r="I163">
        <v>470</v>
      </c>
      <c r="J163" t="s">
        <v>166</v>
      </c>
      <c r="K163">
        <v>470</v>
      </c>
      <c r="L163" t="s">
        <v>167</v>
      </c>
      <c r="M163">
        <v>469</v>
      </c>
      <c r="N163" t="s">
        <v>167</v>
      </c>
      <c r="O163" t="s">
        <v>684</v>
      </c>
      <c r="P163" t="s">
        <v>178</v>
      </c>
      <c r="Q163">
        <v>0</v>
      </c>
      <c r="R163">
        <v>7.0584100000000002E-4</v>
      </c>
      <c r="T163" t="s">
        <v>444</v>
      </c>
      <c r="V163" t="s">
        <v>1348</v>
      </c>
      <c r="W163" t="s">
        <v>1347</v>
      </c>
      <c r="Y163" t="s">
        <v>476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1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1</v>
      </c>
      <c r="FB163">
        <v>0</v>
      </c>
      <c r="FC163">
        <v>1</v>
      </c>
      <c r="FD163">
        <v>0</v>
      </c>
      <c r="FE163">
        <v>0</v>
      </c>
      <c r="FF163">
        <v>0</v>
      </c>
      <c r="FG163">
        <v>1</v>
      </c>
      <c r="FH163">
        <v>0</v>
      </c>
      <c r="FI163">
        <v>0</v>
      </c>
      <c r="FJ163">
        <v>2</v>
      </c>
    </row>
    <row r="164" spans="1:166" x14ac:dyDescent="0.3">
      <c r="A164" t="s">
        <v>685</v>
      </c>
      <c r="B164" t="s">
        <v>686</v>
      </c>
      <c r="E164" t="s">
        <v>683</v>
      </c>
      <c r="F164">
        <v>26</v>
      </c>
      <c r="G164">
        <v>29</v>
      </c>
      <c r="H164" t="s">
        <v>166</v>
      </c>
      <c r="I164">
        <v>470</v>
      </c>
      <c r="J164" t="s">
        <v>166</v>
      </c>
      <c r="K164">
        <v>470</v>
      </c>
      <c r="L164" t="s">
        <v>167</v>
      </c>
      <c r="M164">
        <v>469</v>
      </c>
      <c r="N164" t="s">
        <v>167</v>
      </c>
      <c r="O164" t="s">
        <v>687</v>
      </c>
      <c r="P164" t="s">
        <v>210</v>
      </c>
      <c r="Q164">
        <v>0</v>
      </c>
      <c r="R164">
        <v>1.2626499999999999E-3</v>
      </c>
      <c r="T164" t="s">
        <v>444</v>
      </c>
      <c r="V164" t="s">
        <v>1348</v>
      </c>
      <c r="W164" t="s">
        <v>1347</v>
      </c>
      <c r="Y164" t="s">
        <v>476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</v>
      </c>
      <c r="EG164">
        <v>0</v>
      </c>
      <c r="EH164">
        <v>1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1</v>
      </c>
      <c r="FB164">
        <v>0</v>
      </c>
      <c r="FC164">
        <v>1</v>
      </c>
      <c r="FD164">
        <v>1</v>
      </c>
      <c r="FE164">
        <v>0</v>
      </c>
      <c r="FF164">
        <v>0</v>
      </c>
      <c r="FG164">
        <v>1</v>
      </c>
      <c r="FH164">
        <v>0</v>
      </c>
      <c r="FI164">
        <v>0</v>
      </c>
      <c r="FJ164">
        <v>2</v>
      </c>
    </row>
    <row r="165" spans="1:166" x14ac:dyDescent="0.3">
      <c r="A165" t="s">
        <v>688</v>
      </c>
      <c r="B165" t="s">
        <v>689</v>
      </c>
      <c r="E165" t="s">
        <v>683</v>
      </c>
      <c r="F165">
        <v>26</v>
      </c>
      <c r="G165">
        <v>29</v>
      </c>
      <c r="H165" t="s">
        <v>166</v>
      </c>
      <c r="I165">
        <v>470</v>
      </c>
      <c r="J165" t="s">
        <v>166</v>
      </c>
      <c r="K165">
        <v>470</v>
      </c>
      <c r="L165" t="s">
        <v>167</v>
      </c>
      <c r="M165">
        <v>469</v>
      </c>
      <c r="N165" t="s">
        <v>167</v>
      </c>
      <c r="O165" t="s">
        <v>690</v>
      </c>
      <c r="P165" t="s">
        <v>691</v>
      </c>
      <c r="Q165">
        <v>0</v>
      </c>
      <c r="R165">
        <v>2.5746300000000001E-3</v>
      </c>
      <c r="T165" t="s">
        <v>444</v>
      </c>
      <c r="V165" t="s">
        <v>1348</v>
      </c>
      <c r="W165" t="s">
        <v>1347</v>
      </c>
      <c r="Y165" t="s">
        <v>476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1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158</v>
      </c>
    </row>
    <row r="166" spans="1:166" x14ac:dyDescent="0.3">
      <c r="A166" t="s">
        <v>692</v>
      </c>
      <c r="B166" t="s">
        <v>693</v>
      </c>
      <c r="E166" t="s">
        <v>683</v>
      </c>
      <c r="F166">
        <v>26</v>
      </c>
      <c r="G166">
        <v>29</v>
      </c>
      <c r="H166" t="s">
        <v>166</v>
      </c>
      <c r="I166">
        <v>470</v>
      </c>
      <c r="J166" t="s">
        <v>166</v>
      </c>
      <c r="K166">
        <v>470</v>
      </c>
      <c r="L166" t="s">
        <v>167</v>
      </c>
      <c r="M166">
        <v>469</v>
      </c>
      <c r="N166" t="s">
        <v>167</v>
      </c>
      <c r="O166" t="s">
        <v>687</v>
      </c>
      <c r="P166" t="s">
        <v>210</v>
      </c>
      <c r="Q166">
        <v>0</v>
      </c>
      <c r="R166">
        <v>1.2626499999999999E-3</v>
      </c>
      <c r="T166" t="s">
        <v>444</v>
      </c>
      <c r="V166" t="s">
        <v>1348</v>
      </c>
      <c r="W166" t="s">
        <v>1347</v>
      </c>
      <c r="Y166" t="s">
        <v>476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1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1</v>
      </c>
      <c r="FB166">
        <v>0</v>
      </c>
      <c r="FC166">
        <v>1</v>
      </c>
      <c r="FD166">
        <v>1</v>
      </c>
      <c r="FE166">
        <v>0</v>
      </c>
      <c r="FF166">
        <v>0</v>
      </c>
      <c r="FG166">
        <v>1</v>
      </c>
      <c r="FH166">
        <v>0</v>
      </c>
      <c r="FI166">
        <v>0</v>
      </c>
      <c r="FJ166">
        <v>2</v>
      </c>
    </row>
    <row r="167" spans="1:166" x14ac:dyDescent="0.3">
      <c r="A167" t="s">
        <v>694</v>
      </c>
      <c r="B167" t="s">
        <v>695</v>
      </c>
      <c r="E167" t="s">
        <v>683</v>
      </c>
      <c r="F167">
        <v>26</v>
      </c>
      <c r="G167">
        <v>29</v>
      </c>
      <c r="H167" t="s">
        <v>166</v>
      </c>
      <c r="I167">
        <v>470</v>
      </c>
      <c r="J167" t="s">
        <v>166</v>
      </c>
      <c r="K167">
        <v>470</v>
      </c>
      <c r="L167" t="s">
        <v>167</v>
      </c>
      <c r="M167">
        <v>469</v>
      </c>
      <c r="N167" t="s">
        <v>167</v>
      </c>
      <c r="O167" t="s">
        <v>684</v>
      </c>
      <c r="P167" t="s">
        <v>491</v>
      </c>
      <c r="Q167">
        <v>0</v>
      </c>
      <c r="R167">
        <v>6.5615399999999896E-4</v>
      </c>
      <c r="T167" t="s">
        <v>444</v>
      </c>
      <c r="V167" t="s">
        <v>1348</v>
      </c>
      <c r="W167" t="s">
        <v>1347</v>
      </c>
      <c r="Y167" t="s">
        <v>476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1</v>
      </c>
      <c r="EZ167">
        <v>0</v>
      </c>
      <c r="FA167">
        <v>1</v>
      </c>
      <c r="FB167">
        <v>0</v>
      </c>
      <c r="FC167">
        <v>1</v>
      </c>
      <c r="FD167">
        <v>0</v>
      </c>
      <c r="FE167">
        <v>0</v>
      </c>
      <c r="FF167">
        <v>0</v>
      </c>
      <c r="FG167">
        <v>1</v>
      </c>
      <c r="FH167">
        <v>0</v>
      </c>
      <c r="FI167">
        <v>0</v>
      </c>
      <c r="FJ167">
        <v>2</v>
      </c>
    </row>
    <row r="168" spans="1:166" x14ac:dyDescent="0.3">
      <c r="A168" t="s">
        <v>696</v>
      </c>
      <c r="B168" t="s">
        <v>697</v>
      </c>
      <c r="E168" t="s">
        <v>683</v>
      </c>
      <c r="F168">
        <v>26</v>
      </c>
      <c r="G168">
        <v>29</v>
      </c>
      <c r="H168" t="s">
        <v>166</v>
      </c>
      <c r="I168">
        <v>470</v>
      </c>
      <c r="J168" t="s">
        <v>166</v>
      </c>
      <c r="K168">
        <v>470</v>
      </c>
      <c r="L168" t="s">
        <v>167</v>
      </c>
      <c r="M168">
        <v>469</v>
      </c>
      <c r="N168" t="s">
        <v>167</v>
      </c>
      <c r="O168" t="s">
        <v>698</v>
      </c>
      <c r="P168" t="s">
        <v>475</v>
      </c>
      <c r="Q168">
        <v>0</v>
      </c>
      <c r="R168">
        <v>2.2437099999999999E-3</v>
      </c>
      <c r="T168" t="s">
        <v>444</v>
      </c>
      <c r="V168" t="s">
        <v>1348</v>
      </c>
      <c r="W168" t="s">
        <v>1347</v>
      </c>
      <c r="Y168" t="s">
        <v>476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1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1</v>
      </c>
      <c r="EY168">
        <v>1</v>
      </c>
      <c r="EZ168">
        <v>0</v>
      </c>
      <c r="FA168">
        <v>1</v>
      </c>
      <c r="FB168">
        <v>0</v>
      </c>
      <c r="FC168">
        <v>1</v>
      </c>
      <c r="FD168">
        <v>0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2</v>
      </c>
    </row>
    <row r="169" spans="1:166" x14ac:dyDescent="0.3">
      <c r="A169" t="s">
        <v>699</v>
      </c>
      <c r="B169" t="s">
        <v>700</v>
      </c>
      <c r="E169" t="s">
        <v>479</v>
      </c>
      <c r="F169">
        <v>9.0819989999999997</v>
      </c>
      <c r="G169">
        <v>8.6752769999999995</v>
      </c>
      <c r="H169" t="s">
        <v>166</v>
      </c>
      <c r="I169">
        <v>470</v>
      </c>
      <c r="J169" t="s">
        <v>166</v>
      </c>
      <c r="K169">
        <v>470</v>
      </c>
      <c r="L169" t="s">
        <v>167</v>
      </c>
      <c r="M169">
        <v>469</v>
      </c>
      <c r="N169" t="s">
        <v>167</v>
      </c>
      <c r="O169" t="s">
        <v>329</v>
      </c>
      <c r="P169" t="s">
        <v>701</v>
      </c>
      <c r="Q169">
        <v>0</v>
      </c>
      <c r="R169">
        <v>2.2984199999999998E-3</v>
      </c>
      <c r="V169" t="s">
        <v>482</v>
      </c>
      <c r="W169" t="s">
        <v>483</v>
      </c>
      <c r="Y169" t="s">
        <v>197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1</v>
      </c>
      <c r="AS169">
        <v>1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0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1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1</v>
      </c>
      <c r="EY169">
        <v>1</v>
      </c>
      <c r="EZ169">
        <v>0</v>
      </c>
      <c r="FA169">
        <v>1</v>
      </c>
      <c r="FB169">
        <v>0</v>
      </c>
      <c r="FC169">
        <v>1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149</v>
      </c>
    </row>
    <row r="170" spans="1:166" x14ac:dyDescent="0.3">
      <c r="A170" t="s">
        <v>702</v>
      </c>
      <c r="B170" t="s">
        <v>703</v>
      </c>
      <c r="E170" t="s">
        <v>479</v>
      </c>
      <c r="F170">
        <v>9.0819989999999997</v>
      </c>
      <c r="G170">
        <v>8.6752769999999995</v>
      </c>
      <c r="H170" t="s">
        <v>166</v>
      </c>
      <c r="I170">
        <v>470</v>
      </c>
      <c r="J170" t="s">
        <v>166</v>
      </c>
      <c r="K170">
        <v>470</v>
      </c>
      <c r="L170" t="s">
        <v>167</v>
      </c>
      <c r="M170">
        <v>469</v>
      </c>
      <c r="N170" t="s">
        <v>167</v>
      </c>
      <c r="O170" t="s">
        <v>704</v>
      </c>
      <c r="P170" t="s">
        <v>705</v>
      </c>
      <c r="Q170">
        <v>0</v>
      </c>
      <c r="R170">
        <v>8.4610099999999997E-3</v>
      </c>
      <c r="V170" t="s">
        <v>482</v>
      </c>
      <c r="W170" t="s">
        <v>483</v>
      </c>
      <c r="Y170" t="s">
        <v>197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1866</v>
      </c>
    </row>
    <row r="171" spans="1:166" x14ac:dyDescent="0.3">
      <c r="A171" t="s">
        <v>706</v>
      </c>
      <c r="B171" t="s">
        <v>707</v>
      </c>
      <c r="E171" t="s">
        <v>479</v>
      </c>
      <c r="F171">
        <v>9.0819989999999997</v>
      </c>
      <c r="G171">
        <v>8.6752769999999995</v>
      </c>
      <c r="H171" t="s">
        <v>166</v>
      </c>
      <c r="I171">
        <v>470</v>
      </c>
      <c r="J171" t="s">
        <v>166</v>
      </c>
      <c r="K171">
        <v>470</v>
      </c>
      <c r="L171" t="s">
        <v>167</v>
      </c>
      <c r="M171">
        <v>469</v>
      </c>
      <c r="N171" t="s">
        <v>167</v>
      </c>
      <c r="O171" t="s">
        <v>708</v>
      </c>
      <c r="P171" t="s">
        <v>426</v>
      </c>
      <c r="Q171">
        <v>0</v>
      </c>
      <c r="R171">
        <v>1.41786E-3</v>
      </c>
      <c r="V171" t="s">
        <v>482</v>
      </c>
      <c r="W171" t="s">
        <v>483</v>
      </c>
      <c r="Y171" t="s">
        <v>197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1</v>
      </c>
      <c r="FB171">
        <v>0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409</v>
      </c>
    </row>
    <row r="172" spans="1:166" x14ac:dyDescent="0.3">
      <c r="A172" t="s">
        <v>709</v>
      </c>
      <c r="B172" t="s">
        <v>710</v>
      </c>
      <c r="E172" t="s">
        <v>479</v>
      </c>
      <c r="F172">
        <v>9.0819989999999997</v>
      </c>
      <c r="G172">
        <v>8.6752769999999995</v>
      </c>
      <c r="H172" t="s">
        <v>166</v>
      </c>
      <c r="I172">
        <v>470</v>
      </c>
      <c r="J172" t="s">
        <v>166</v>
      </c>
      <c r="K172">
        <v>470</v>
      </c>
      <c r="L172" t="s">
        <v>167</v>
      </c>
      <c r="M172">
        <v>469</v>
      </c>
      <c r="N172" t="s">
        <v>167</v>
      </c>
      <c r="O172" t="s">
        <v>711</v>
      </c>
      <c r="P172" t="s">
        <v>544</v>
      </c>
      <c r="Q172">
        <v>0</v>
      </c>
      <c r="R172">
        <v>1.91916E-3</v>
      </c>
      <c r="V172" t="s">
        <v>482</v>
      </c>
      <c r="W172" t="s">
        <v>483</v>
      </c>
      <c r="Y172" t="s">
        <v>197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1</v>
      </c>
      <c r="DH172">
        <v>0</v>
      </c>
      <c r="DI172">
        <v>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1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16</v>
      </c>
    </row>
    <row r="173" spans="1:166" x14ac:dyDescent="0.3">
      <c r="A173" t="s">
        <v>712</v>
      </c>
      <c r="B173" t="s">
        <v>713</v>
      </c>
      <c r="E173" t="s">
        <v>479</v>
      </c>
      <c r="F173">
        <v>9.0819989999999997</v>
      </c>
      <c r="G173">
        <v>8.6752769999999995</v>
      </c>
      <c r="H173" t="s">
        <v>166</v>
      </c>
      <c r="I173">
        <v>470</v>
      </c>
      <c r="J173" t="s">
        <v>166</v>
      </c>
      <c r="K173">
        <v>470</v>
      </c>
      <c r="L173" t="s">
        <v>167</v>
      </c>
      <c r="M173">
        <v>469</v>
      </c>
      <c r="N173" t="s">
        <v>167</v>
      </c>
      <c r="O173" t="s">
        <v>714</v>
      </c>
      <c r="P173" t="s">
        <v>544</v>
      </c>
      <c r="Q173">
        <v>0</v>
      </c>
      <c r="R173">
        <v>1.91916E-3</v>
      </c>
      <c r="V173" t="s">
        <v>482</v>
      </c>
      <c r="W173" t="s">
        <v>483</v>
      </c>
      <c r="Y173" t="s">
        <v>197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1</v>
      </c>
      <c r="FF173">
        <v>0</v>
      </c>
      <c r="FG173">
        <v>0</v>
      </c>
      <c r="FH173">
        <v>0</v>
      </c>
      <c r="FI173">
        <v>0</v>
      </c>
      <c r="FJ173">
        <v>164</v>
      </c>
    </row>
    <row r="174" spans="1:166" x14ac:dyDescent="0.3">
      <c r="A174" t="s">
        <v>715</v>
      </c>
      <c r="B174" t="s">
        <v>716</v>
      </c>
      <c r="E174" t="s">
        <v>479</v>
      </c>
      <c r="F174">
        <v>9.0819989999999997</v>
      </c>
      <c r="G174">
        <v>8.6752769999999995</v>
      </c>
      <c r="H174" t="s">
        <v>166</v>
      </c>
      <c r="I174">
        <v>470</v>
      </c>
      <c r="J174" t="s">
        <v>166</v>
      </c>
      <c r="K174">
        <v>470</v>
      </c>
      <c r="L174" t="s">
        <v>167</v>
      </c>
      <c r="M174">
        <v>469</v>
      </c>
      <c r="N174" t="s">
        <v>167</v>
      </c>
      <c r="O174" t="s">
        <v>329</v>
      </c>
      <c r="P174" t="s">
        <v>701</v>
      </c>
      <c r="Q174">
        <v>0</v>
      </c>
      <c r="R174">
        <v>2.2984199999999998E-3</v>
      </c>
      <c r="V174" t="s">
        <v>482</v>
      </c>
      <c r="W174" t="s">
        <v>483</v>
      </c>
      <c r="Y174" t="s">
        <v>197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1</v>
      </c>
      <c r="AS174">
        <v>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1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1</v>
      </c>
      <c r="EY174">
        <v>1</v>
      </c>
      <c r="EZ174">
        <v>0</v>
      </c>
      <c r="FA174">
        <v>1</v>
      </c>
      <c r="FB174">
        <v>0</v>
      </c>
      <c r="FC174">
        <v>1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149</v>
      </c>
    </row>
    <row r="175" spans="1:166" x14ac:dyDescent="0.3">
      <c r="A175" t="s">
        <v>717</v>
      </c>
      <c r="B175" t="s">
        <v>718</v>
      </c>
      <c r="E175" t="s">
        <v>479</v>
      </c>
      <c r="F175">
        <v>9.0819989999999997</v>
      </c>
      <c r="G175">
        <v>8.6752769999999995</v>
      </c>
      <c r="H175" t="s">
        <v>166</v>
      </c>
      <c r="I175">
        <v>470</v>
      </c>
      <c r="J175" t="s">
        <v>166</v>
      </c>
      <c r="K175">
        <v>470</v>
      </c>
      <c r="L175" t="s">
        <v>167</v>
      </c>
      <c r="M175">
        <v>469</v>
      </c>
      <c r="N175" t="s">
        <v>167</v>
      </c>
      <c r="O175" t="s">
        <v>704</v>
      </c>
      <c r="P175" t="s">
        <v>705</v>
      </c>
      <c r="Q175">
        <v>0</v>
      </c>
      <c r="R175">
        <v>8.4610099999999997E-3</v>
      </c>
      <c r="V175" t="s">
        <v>482</v>
      </c>
      <c r="W175" t="s">
        <v>483</v>
      </c>
      <c r="Y175" t="s">
        <v>197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1866</v>
      </c>
    </row>
    <row r="176" spans="1:166" x14ac:dyDescent="0.3">
      <c r="A176" t="s">
        <v>719</v>
      </c>
      <c r="B176" t="s">
        <v>720</v>
      </c>
      <c r="E176" t="s">
        <v>479</v>
      </c>
      <c r="F176">
        <v>9.0819989999999997</v>
      </c>
      <c r="G176">
        <v>8.6752769999999995</v>
      </c>
      <c r="H176" t="s">
        <v>166</v>
      </c>
      <c r="I176">
        <v>470</v>
      </c>
      <c r="J176" t="s">
        <v>166</v>
      </c>
      <c r="K176">
        <v>470</v>
      </c>
      <c r="L176" t="s">
        <v>167</v>
      </c>
      <c r="M176">
        <v>469</v>
      </c>
      <c r="N176" t="s">
        <v>167</v>
      </c>
      <c r="O176" t="s">
        <v>721</v>
      </c>
      <c r="P176" t="s">
        <v>722</v>
      </c>
      <c r="Q176">
        <v>0</v>
      </c>
      <c r="R176">
        <v>2.6025000000000002E-3</v>
      </c>
      <c r="V176" t="s">
        <v>482</v>
      </c>
      <c r="W176" t="s">
        <v>483</v>
      </c>
      <c r="Y176" t="s">
        <v>197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1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32</v>
      </c>
    </row>
    <row r="177" spans="1:166" x14ac:dyDescent="0.3">
      <c r="A177" t="s">
        <v>723</v>
      </c>
      <c r="B177" t="s">
        <v>724</v>
      </c>
      <c r="E177" t="s">
        <v>479</v>
      </c>
      <c r="F177">
        <v>9.0819989999999997</v>
      </c>
      <c r="G177">
        <v>8.6752769999999995</v>
      </c>
      <c r="H177" t="s">
        <v>166</v>
      </c>
      <c r="I177">
        <v>470</v>
      </c>
      <c r="J177" t="s">
        <v>166</v>
      </c>
      <c r="K177">
        <v>470</v>
      </c>
      <c r="L177" t="s">
        <v>167</v>
      </c>
      <c r="M177">
        <v>469</v>
      </c>
      <c r="N177" t="s">
        <v>167</v>
      </c>
      <c r="O177" t="s">
        <v>725</v>
      </c>
      <c r="P177" t="s">
        <v>726</v>
      </c>
      <c r="Q177">
        <v>0</v>
      </c>
      <c r="R177">
        <v>3.4897499999999998E-3</v>
      </c>
      <c r="V177" t="s">
        <v>482</v>
      </c>
      <c r="W177" t="s">
        <v>483</v>
      </c>
      <c r="Y177" t="s">
        <v>197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</v>
      </c>
      <c r="EG177">
        <v>0</v>
      </c>
      <c r="EH177">
        <v>1</v>
      </c>
      <c r="EI177">
        <v>1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0</v>
      </c>
      <c r="EV177">
        <v>0</v>
      </c>
      <c r="EW177">
        <v>0</v>
      </c>
      <c r="EX177">
        <v>1</v>
      </c>
      <c r="EY177">
        <v>1</v>
      </c>
      <c r="EZ177">
        <v>0</v>
      </c>
      <c r="FA177">
        <v>1</v>
      </c>
      <c r="FB177">
        <v>1</v>
      </c>
      <c r="FC177">
        <v>1</v>
      </c>
      <c r="FD177">
        <v>0</v>
      </c>
      <c r="FE177">
        <v>0</v>
      </c>
      <c r="FF177">
        <v>0</v>
      </c>
      <c r="FG177">
        <v>1</v>
      </c>
      <c r="FH177">
        <v>0</v>
      </c>
      <c r="FI177">
        <v>0</v>
      </c>
      <c r="FJ177">
        <v>2</v>
      </c>
    </row>
    <row r="178" spans="1:166" x14ac:dyDescent="0.3">
      <c r="A178" t="s">
        <v>727</v>
      </c>
      <c r="B178" t="s">
        <v>728</v>
      </c>
      <c r="E178" t="s">
        <v>479</v>
      </c>
      <c r="F178">
        <v>9.0819989999999997</v>
      </c>
      <c r="G178">
        <v>8.6752769999999995</v>
      </c>
      <c r="H178" t="s">
        <v>166</v>
      </c>
      <c r="I178">
        <v>470</v>
      </c>
      <c r="J178" t="s">
        <v>166</v>
      </c>
      <c r="K178">
        <v>470</v>
      </c>
      <c r="L178" t="s">
        <v>167</v>
      </c>
      <c r="M178">
        <v>469</v>
      </c>
      <c r="N178" t="s">
        <v>167</v>
      </c>
      <c r="O178" t="s">
        <v>209</v>
      </c>
      <c r="P178" t="s">
        <v>406</v>
      </c>
      <c r="Q178">
        <v>0</v>
      </c>
      <c r="R178">
        <v>9.8187100000000005E-4</v>
      </c>
      <c r="V178" t="s">
        <v>482</v>
      </c>
      <c r="W178" t="s">
        <v>483</v>
      </c>
      <c r="Y178" t="s">
        <v>197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1</v>
      </c>
      <c r="FB178">
        <v>0</v>
      </c>
      <c r="FC178">
        <v>1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409</v>
      </c>
    </row>
    <row r="179" spans="1:166" x14ac:dyDescent="0.3">
      <c r="A179" t="s">
        <v>729</v>
      </c>
      <c r="B179" t="s">
        <v>730</v>
      </c>
      <c r="E179" t="s">
        <v>479</v>
      </c>
      <c r="F179">
        <v>9.0819989999999997</v>
      </c>
      <c r="G179">
        <v>8.6752769999999995</v>
      </c>
      <c r="H179" t="s">
        <v>166</v>
      </c>
      <c r="I179">
        <v>470</v>
      </c>
      <c r="J179" t="s">
        <v>166</v>
      </c>
      <c r="K179">
        <v>470</v>
      </c>
      <c r="L179" t="s">
        <v>167</v>
      </c>
      <c r="M179">
        <v>469</v>
      </c>
      <c r="N179" t="s">
        <v>167</v>
      </c>
      <c r="O179" t="s">
        <v>329</v>
      </c>
      <c r="P179" t="s">
        <v>701</v>
      </c>
      <c r="Q179">
        <v>0</v>
      </c>
      <c r="R179">
        <v>2.2984199999999998E-3</v>
      </c>
      <c r="V179" t="s">
        <v>482</v>
      </c>
      <c r="W179" t="s">
        <v>483</v>
      </c>
      <c r="Y179" t="s">
        <v>197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1</v>
      </c>
      <c r="EY179">
        <v>1</v>
      </c>
      <c r="EZ179">
        <v>0</v>
      </c>
      <c r="FA179">
        <v>1</v>
      </c>
      <c r="FB179">
        <v>0</v>
      </c>
      <c r="FC179">
        <v>1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149</v>
      </c>
    </row>
    <row r="180" spans="1:166" x14ac:dyDescent="0.3">
      <c r="A180" t="s">
        <v>731</v>
      </c>
      <c r="B180" t="s">
        <v>732</v>
      </c>
      <c r="E180" t="s">
        <v>479</v>
      </c>
      <c r="F180">
        <v>9.0819989999999997</v>
      </c>
      <c r="G180">
        <v>8.6752769999999995</v>
      </c>
      <c r="H180" t="s">
        <v>166</v>
      </c>
      <c r="I180">
        <v>470</v>
      </c>
      <c r="J180" t="s">
        <v>166</v>
      </c>
      <c r="K180">
        <v>470</v>
      </c>
      <c r="L180" t="s">
        <v>167</v>
      </c>
      <c r="M180">
        <v>469</v>
      </c>
      <c r="N180" t="s">
        <v>167</v>
      </c>
      <c r="O180" t="s">
        <v>429</v>
      </c>
      <c r="P180" t="s">
        <v>733</v>
      </c>
      <c r="Q180">
        <v>0</v>
      </c>
      <c r="R180">
        <v>2.8554000000000001E-3</v>
      </c>
      <c r="V180" t="s">
        <v>482</v>
      </c>
      <c r="W180" t="s">
        <v>483</v>
      </c>
      <c r="Y180" t="s">
        <v>197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203</v>
      </c>
    </row>
    <row r="181" spans="1:166" x14ac:dyDescent="0.3">
      <c r="A181" t="s">
        <v>734</v>
      </c>
      <c r="B181" t="s">
        <v>735</v>
      </c>
      <c r="E181" t="s">
        <v>479</v>
      </c>
      <c r="F181">
        <v>9.0819989999999997</v>
      </c>
      <c r="G181">
        <v>8.6752769999999995</v>
      </c>
      <c r="H181" t="s">
        <v>166</v>
      </c>
      <c r="I181">
        <v>470</v>
      </c>
      <c r="J181" t="s">
        <v>166</v>
      </c>
      <c r="K181">
        <v>470</v>
      </c>
      <c r="L181" t="s">
        <v>167</v>
      </c>
      <c r="M181">
        <v>469</v>
      </c>
      <c r="N181" t="s">
        <v>167</v>
      </c>
      <c r="O181" t="s">
        <v>490</v>
      </c>
      <c r="P181" t="s">
        <v>611</v>
      </c>
      <c r="Q181">
        <v>0</v>
      </c>
      <c r="R181">
        <v>4.8344600000000001E-4</v>
      </c>
      <c r="V181" t="s">
        <v>482</v>
      </c>
      <c r="W181" t="s">
        <v>483</v>
      </c>
      <c r="Y181" t="s">
        <v>197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1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1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1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85</v>
      </c>
    </row>
    <row r="182" spans="1:166" x14ac:dyDescent="0.3">
      <c r="A182" t="s">
        <v>736</v>
      </c>
      <c r="B182" t="s">
        <v>737</v>
      </c>
      <c r="E182" t="s">
        <v>479</v>
      </c>
      <c r="F182">
        <v>9.0819989999999997</v>
      </c>
      <c r="G182">
        <v>8.6752769999999995</v>
      </c>
      <c r="H182" t="s">
        <v>166</v>
      </c>
      <c r="I182">
        <v>470</v>
      </c>
      <c r="J182" t="s">
        <v>166</v>
      </c>
      <c r="K182">
        <v>470</v>
      </c>
      <c r="L182" t="s">
        <v>167</v>
      </c>
      <c r="M182">
        <v>469</v>
      </c>
      <c r="N182" t="s">
        <v>167</v>
      </c>
      <c r="O182" t="s">
        <v>738</v>
      </c>
      <c r="P182" t="s">
        <v>305</v>
      </c>
      <c r="Q182">
        <v>0</v>
      </c>
      <c r="R182">
        <v>2.32584E-3</v>
      </c>
      <c r="V182" t="s">
        <v>482</v>
      </c>
      <c r="W182" t="s">
        <v>483</v>
      </c>
      <c r="Y182" t="s">
        <v>197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1</v>
      </c>
      <c r="EU182">
        <v>1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1</v>
      </c>
      <c r="FE182">
        <v>0</v>
      </c>
      <c r="FF182">
        <v>0</v>
      </c>
      <c r="FG182">
        <v>1</v>
      </c>
      <c r="FH182">
        <v>1</v>
      </c>
      <c r="FI182">
        <v>0</v>
      </c>
      <c r="FJ182">
        <v>267</v>
      </c>
    </row>
    <row r="183" spans="1:166" x14ac:dyDescent="0.3">
      <c r="A183" t="s">
        <v>739</v>
      </c>
      <c r="B183" t="s">
        <v>740</v>
      </c>
      <c r="E183" t="s">
        <v>479</v>
      </c>
      <c r="F183">
        <v>9.0819989999999997</v>
      </c>
      <c r="G183">
        <v>8.6752769999999995</v>
      </c>
      <c r="H183" t="s">
        <v>166</v>
      </c>
      <c r="I183">
        <v>470</v>
      </c>
      <c r="J183" t="s">
        <v>166</v>
      </c>
      <c r="K183">
        <v>470</v>
      </c>
      <c r="L183" t="s">
        <v>167</v>
      </c>
      <c r="M183">
        <v>469</v>
      </c>
      <c r="N183" t="s">
        <v>167</v>
      </c>
      <c r="O183" t="s">
        <v>533</v>
      </c>
      <c r="P183" t="s">
        <v>655</v>
      </c>
      <c r="Q183">
        <v>0</v>
      </c>
      <c r="R183">
        <v>7.3074100000000003E-4</v>
      </c>
      <c r="V183" t="s">
        <v>482</v>
      </c>
      <c r="W183" t="s">
        <v>483</v>
      </c>
      <c r="Y183" t="s">
        <v>197</v>
      </c>
      <c r="Z183">
        <v>0</v>
      </c>
      <c r="AA183">
        <v>1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1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1</v>
      </c>
      <c r="EY183">
        <v>1</v>
      </c>
      <c r="EZ183">
        <v>0</v>
      </c>
      <c r="FA183">
        <v>1</v>
      </c>
      <c r="FB183">
        <v>0</v>
      </c>
      <c r="FC183">
        <v>1</v>
      </c>
      <c r="FD183">
        <v>1</v>
      </c>
      <c r="FE183">
        <v>0</v>
      </c>
      <c r="FF183">
        <v>0</v>
      </c>
      <c r="FG183">
        <v>1</v>
      </c>
      <c r="FH183">
        <v>0</v>
      </c>
      <c r="FI183">
        <v>0</v>
      </c>
      <c r="FJ183">
        <v>25</v>
      </c>
    </row>
    <row r="184" spans="1:166" x14ac:dyDescent="0.3">
      <c r="A184" t="s">
        <v>741</v>
      </c>
      <c r="B184" t="s">
        <v>742</v>
      </c>
      <c r="E184" t="s">
        <v>479</v>
      </c>
      <c r="F184">
        <v>9.0819989999999997</v>
      </c>
      <c r="G184">
        <v>8.6752769999999995</v>
      </c>
      <c r="H184" t="s">
        <v>166</v>
      </c>
      <c r="I184">
        <v>470</v>
      </c>
      <c r="J184" t="s">
        <v>166</v>
      </c>
      <c r="K184">
        <v>470</v>
      </c>
      <c r="L184" t="s">
        <v>167</v>
      </c>
      <c r="M184">
        <v>469</v>
      </c>
      <c r="N184" t="s">
        <v>167</v>
      </c>
      <c r="O184" t="s">
        <v>533</v>
      </c>
      <c r="P184" t="s">
        <v>743</v>
      </c>
      <c r="Q184">
        <v>0</v>
      </c>
      <c r="R184">
        <v>1.36596E-3</v>
      </c>
      <c r="V184" t="s">
        <v>482</v>
      </c>
      <c r="W184" t="s">
        <v>483</v>
      </c>
      <c r="Y184" t="s">
        <v>197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1</v>
      </c>
      <c r="EZ184">
        <v>0</v>
      </c>
      <c r="FA184">
        <v>1</v>
      </c>
      <c r="FB184">
        <v>0</v>
      </c>
      <c r="FC184">
        <v>1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25</v>
      </c>
    </row>
    <row r="185" spans="1:166" x14ac:dyDescent="0.3">
      <c r="A185" t="s">
        <v>744</v>
      </c>
      <c r="B185" t="s">
        <v>745</v>
      </c>
      <c r="E185" t="s">
        <v>479</v>
      </c>
      <c r="F185">
        <v>9.0819989999999997</v>
      </c>
      <c r="G185">
        <v>8.6752769999999995</v>
      </c>
      <c r="H185" t="s">
        <v>166</v>
      </c>
      <c r="I185">
        <v>470</v>
      </c>
      <c r="J185" t="s">
        <v>166</v>
      </c>
      <c r="K185">
        <v>470</v>
      </c>
      <c r="L185" t="s">
        <v>167</v>
      </c>
      <c r="M185">
        <v>469</v>
      </c>
      <c r="N185" t="s">
        <v>167</v>
      </c>
      <c r="O185" t="s">
        <v>533</v>
      </c>
      <c r="P185" t="s">
        <v>184</v>
      </c>
      <c r="Q185">
        <v>0</v>
      </c>
      <c r="R185">
        <v>8.3072799999999998E-4</v>
      </c>
      <c r="V185" t="s">
        <v>482</v>
      </c>
      <c r="W185" t="s">
        <v>483</v>
      </c>
      <c r="Y185" t="s">
        <v>197</v>
      </c>
      <c r="Z185">
        <v>0</v>
      </c>
      <c r="AA185">
        <v>1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1</v>
      </c>
      <c r="EM185">
        <v>0</v>
      </c>
      <c r="EN185">
        <v>0</v>
      </c>
      <c r="EO185">
        <v>0</v>
      </c>
      <c r="EP185">
        <v>0</v>
      </c>
      <c r="EQ185">
        <v>1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1</v>
      </c>
      <c r="FB185">
        <v>0</v>
      </c>
      <c r="FC185">
        <v>1</v>
      </c>
      <c r="FD185">
        <v>1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25</v>
      </c>
    </row>
    <row r="186" spans="1:166" x14ac:dyDescent="0.3">
      <c r="A186" t="s">
        <v>746</v>
      </c>
      <c r="B186" t="s">
        <v>747</v>
      </c>
      <c r="E186" t="s">
        <v>479</v>
      </c>
      <c r="F186">
        <v>9.0819989999999997</v>
      </c>
      <c r="G186">
        <v>8.6752769999999995</v>
      </c>
      <c r="H186" t="s">
        <v>166</v>
      </c>
      <c r="I186">
        <v>470</v>
      </c>
      <c r="J186" t="s">
        <v>166</v>
      </c>
      <c r="K186">
        <v>470</v>
      </c>
      <c r="L186" t="s">
        <v>167</v>
      </c>
      <c r="M186">
        <v>469</v>
      </c>
      <c r="N186" t="s">
        <v>167</v>
      </c>
      <c r="O186" t="s">
        <v>490</v>
      </c>
      <c r="P186" t="s">
        <v>290</v>
      </c>
      <c r="Q186">
        <v>0</v>
      </c>
      <c r="R186">
        <v>5.3260299999999998E-4</v>
      </c>
      <c r="V186" t="s">
        <v>482</v>
      </c>
      <c r="W186" t="s">
        <v>483</v>
      </c>
      <c r="Y186" t="s">
        <v>197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1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85</v>
      </c>
    </row>
    <row r="187" spans="1:166" x14ac:dyDescent="0.3">
      <c r="A187" t="s">
        <v>748</v>
      </c>
      <c r="B187" t="s">
        <v>749</v>
      </c>
      <c r="E187" t="s">
        <v>479</v>
      </c>
      <c r="F187">
        <v>9.0819989999999997</v>
      </c>
      <c r="G187">
        <v>8.6752769999999995</v>
      </c>
      <c r="H187" t="s">
        <v>166</v>
      </c>
      <c r="I187">
        <v>470</v>
      </c>
      <c r="J187" t="s">
        <v>166</v>
      </c>
      <c r="K187">
        <v>470</v>
      </c>
      <c r="L187" t="s">
        <v>167</v>
      </c>
      <c r="M187">
        <v>469</v>
      </c>
      <c r="N187" t="s">
        <v>167</v>
      </c>
      <c r="O187" t="s">
        <v>461</v>
      </c>
      <c r="P187" t="s">
        <v>341</v>
      </c>
      <c r="Q187">
        <v>0</v>
      </c>
      <c r="R187">
        <v>3.57808E-3</v>
      </c>
      <c r="V187" t="s">
        <v>482</v>
      </c>
      <c r="W187" t="s">
        <v>483</v>
      </c>
      <c r="Y187" t="s">
        <v>197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10</v>
      </c>
    </row>
    <row r="188" spans="1:166" x14ac:dyDescent="0.3">
      <c r="A188" t="s">
        <v>750</v>
      </c>
      <c r="B188" t="s">
        <v>751</v>
      </c>
      <c r="E188" t="s">
        <v>479</v>
      </c>
      <c r="F188">
        <v>9.0819989999999997</v>
      </c>
      <c r="G188">
        <v>8.6752769999999995</v>
      </c>
      <c r="H188" t="s">
        <v>166</v>
      </c>
      <c r="I188">
        <v>470</v>
      </c>
      <c r="J188" t="s">
        <v>166</v>
      </c>
      <c r="K188">
        <v>470</v>
      </c>
      <c r="L188" t="s">
        <v>167</v>
      </c>
      <c r="M188">
        <v>469</v>
      </c>
      <c r="N188" t="s">
        <v>167</v>
      </c>
      <c r="O188" t="s">
        <v>461</v>
      </c>
      <c r="P188" t="s">
        <v>341</v>
      </c>
      <c r="Q188">
        <v>0</v>
      </c>
      <c r="R188">
        <v>3.57808E-3</v>
      </c>
      <c r="V188" t="s">
        <v>482</v>
      </c>
      <c r="W188" t="s">
        <v>483</v>
      </c>
      <c r="Y188" t="s">
        <v>197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1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10</v>
      </c>
    </row>
    <row r="189" spans="1:166" x14ac:dyDescent="0.3">
      <c r="A189" t="s">
        <v>752</v>
      </c>
      <c r="B189" t="s">
        <v>753</v>
      </c>
      <c r="E189" t="s">
        <v>479</v>
      </c>
      <c r="F189">
        <v>9.0819989999999997</v>
      </c>
      <c r="G189">
        <v>8.6752769999999995</v>
      </c>
      <c r="H189" t="s">
        <v>166</v>
      </c>
      <c r="I189">
        <v>470</v>
      </c>
      <c r="J189" t="s">
        <v>166</v>
      </c>
      <c r="K189">
        <v>470</v>
      </c>
      <c r="L189" t="s">
        <v>167</v>
      </c>
      <c r="M189">
        <v>469</v>
      </c>
      <c r="N189" t="s">
        <v>167</v>
      </c>
      <c r="O189" t="s">
        <v>461</v>
      </c>
      <c r="P189" t="s">
        <v>341</v>
      </c>
      <c r="Q189">
        <v>0</v>
      </c>
      <c r="R189">
        <v>3.57808E-3</v>
      </c>
      <c r="V189" t="s">
        <v>482</v>
      </c>
      <c r="W189" t="s">
        <v>483</v>
      </c>
      <c r="Y189" t="s">
        <v>197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10</v>
      </c>
    </row>
    <row r="190" spans="1:166" x14ac:dyDescent="0.3">
      <c r="A190" t="s">
        <v>754</v>
      </c>
      <c r="B190" t="s">
        <v>755</v>
      </c>
      <c r="E190" t="s">
        <v>479</v>
      </c>
      <c r="F190">
        <v>9.0819989999999997</v>
      </c>
      <c r="G190">
        <v>8.6752769999999995</v>
      </c>
      <c r="H190" t="s">
        <v>166</v>
      </c>
      <c r="I190">
        <v>470</v>
      </c>
      <c r="J190" t="s">
        <v>166</v>
      </c>
      <c r="K190">
        <v>470</v>
      </c>
      <c r="L190" t="s">
        <v>167</v>
      </c>
      <c r="M190">
        <v>469</v>
      </c>
      <c r="N190" t="s">
        <v>167</v>
      </c>
      <c r="O190" t="s">
        <v>289</v>
      </c>
      <c r="P190" t="s">
        <v>756</v>
      </c>
      <c r="Q190">
        <v>0</v>
      </c>
      <c r="R190">
        <v>1.9307899999999999E-2</v>
      </c>
      <c r="V190" t="s">
        <v>482</v>
      </c>
      <c r="W190" t="s">
        <v>483</v>
      </c>
      <c r="Y190" t="s">
        <v>197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0</v>
      </c>
      <c r="EK190">
        <v>0</v>
      </c>
      <c r="EL190">
        <v>0</v>
      </c>
      <c r="EM190">
        <v>1</v>
      </c>
      <c r="EN190">
        <v>0</v>
      </c>
      <c r="EO190">
        <v>1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1</v>
      </c>
      <c r="FE190">
        <v>0</v>
      </c>
      <c r="FF190">
        <v>0</v>
      </c>
      <c r="FG190">
        <v>1</v>
      </c>
      <c r="FH190">
        <v>0</v>
      </c>
      <c r="FI190">
        <v>0</v>
      </c>
      <c r="FJ190" t="s">
        <v>198</v>
      </c>
    </row>
    <row r="191" spans="1:166" x14ac:dyDescent="0.3">
      <c r="A191" t="s">
        <v>757</v>
      </c>
      <c r="B191" t="s">
        <v>758</v>
      </c>
      <c r="E191" t="s">
        <v>479</v>
      </c>
      <c r="F191">
        <v>9.0819989999999997</v>
      </c>
      <c r="G191">
        <v>8.6752769999999995</v>
      </c>
      <c r="H191" t="s">
        <v>166</v>
      </c>
      <c r="I191">
        <v>470</v>
      </c>
      <c r="J191" t="s">
        <v>166</v>
      </c>
      <c r="K191">
        <v>470</v>
      </c>
      <c r="L191" t="s">
        <v>167</v>
      </c>
      <c r="M191">
        <v>469</v>
      </c>
      <c r="N191" t="s">
        <v>167</v>
      </c>
      <c r="O191" t="s">
        <v>711</v>
      </c>
      <c r="P191" t="s">
        <v>759</v>
      </c>
      <c r="Q191">
        <v>0</v>
      </c>
      <c r="R191">
        <v>1.6798099999999999E-3</v>
      </c>
      <c r="V191" t="s">
        <v>482</v>
      </c>
      <c r="W191" t="s">
        <v>483</v>
      </c>
      <c r="Y191" t="s">
        <v>197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1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1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0</v>
      </c>
      <c r="FD191">
        <v>1</v>
      </c>
      <c r="FE191">
        <v>1</v>
      </c>
      <c r="FF191">
        <v>0</v>
      </c>
      <c r="FG191">
        <v>0</v>
      </c>
      <c r="FH191">
        <v>0</v>
      </c>
      <c r="FI191">
        <v>0</v>
      </c>
      <c r="FJ191">
        <v>16</v>
      </c>
    </row>
    <row r="192" spans="1:166" x14ac:dyDescent="0.3">
      <c r="A192" t="s">
        <v>760</v>
      </c>
      <c r="B192" t="s">
        <v>761</v>
      </c>
      <c r="E192" t="s">
        <v>479</v>
      </c>
      <c r="F192">
        <v>9.0819989999999997</v>
      </c>
      <c r="G192">
        <v>8.6752769999999995</v>
      </c>
      <c r="H192" t="s">
        <v>166</v>
      </c>
      <c r="I192">
        <v>470</v>
      </c>
      <c r="J192" t="s">
        <v>166</v>
      </c>
      <c r="K192">
        <v>470</v>
      </c>
      <c r="L192" t="s">
        <v>167</v>
      </c>
      <c r="M192">
        <v>469</v>
      </c>
      <c r="N192" t="s">
        <v>167</v>
      </c>
      <c r="O192" t="s">
        <v>711</v>
      </c>
      <c r="P192" t="s">
        <v>759</v>
      </c>
      <c r="Q192">
        <v>0</v>
      </c>
      <c r="R192">
        <v>1.6798099999999999E-3</v>
      </c>
      <c r="V192" t="s">
        <v>482</v>
      </c>
      <c r="W192" t="s">
        <v>483</v>
      </c>
      <c r="Y192" t="s">
        <v>197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1</v>
      </c>
      <c r="FF192">
        <v>0</v>
      </c>
      <c r="FG192">
        <v>0</v>
      </c>
      <c r="FH192">
        <v>0</v>
      </c>
      <c r="FI192">
        <v>0</v>
      </c>
      <c r="FJ192">
        <v>16</v>
      </c>
    </row>
    <row r="193" spans="1:166" x14ac:dyDescent="0.3">
      <c r="A193" t="s">
        <v>762</v>
      </c>
      <c r="B193" t="s">
        <v>763</v>
      </c>
      <c r="E193" t="s">
        <v>479</v>
      </c>
      <c r="F193">
        <v>9.0819989999999997</v>
      </c>
      <c r="G193">
        <v>8.6752769999999995</v>
      </c>
      <c r="H193" t="s">
        <v>166</v>
      </c>
      <c r="I193">
        <v>470</v>
      </c>
      <c r="J193" t="s">
        <v>166</v>
      </c>
      <c r="K193">
        <v>470</v>
      </c>
      <c r="L193" t="s">
        <v>167</v>
      </c>
      <c r="M193">
        <v>469</v>
      </c>
      <c r="N193" t="s">
        <v>167</v>
      </c>
      <c r="O193" t="s">
        <v>764</v>
      </c>
      <c r="P193" t="s">
        <v>765</v>
      </c>
      <c r="Q193">
        <v>0</v>
      </c>
      <c r="R193">
        <v>3.5485899999999999E-3</v>
      </c>
      <c r="V193" t="s">
        <v>482</v>
      </c>
      <c r="W193" t="s">
        <v>483</v>
      </c>
      <c r="Y193" t="s">
        <v>197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267</v>
      </c>
    </row>
    <row r="194" spans="1:166" x14ac:dyDescent="0.3">
      <c r="A194" t="s">
        <v>766</v>
      </c>
      <c r="B194" t="s">
        <v>767</v>
      </c>
      <c r="E194" t="s">
        <v>479</v>
      </c>
      <c r="F194">
        <v>9.0819989999999997</v>
      </c>
      <c r="G194">
        <v>8.6752769999999995</v>
      </c>
      <c r="H194" t="s">
        <v>166</v>
      </c>
      <c r="I194">
        <v>470</v>
      </c>
      <c r="J194" t="s">
        <v>166</v>
      </c>
      <c r="K194">
        <v>470</v>
      </c>
      <c r="L194" t="s">
        <v>167</v>
      </c>
      <c r="M194">
        <v>469</v>
      </c>
      <c r="N194" t="s">
        <v>167</v>
      </c>
      <c r="O194" t="s">
        <v>764</v>
      </c>
      <c r="P194" t="s">
        <v>765</v>
      </c>
      <c r="Q194">
        <v>0</v>
      </c>
      <c r="R194">
        <v>3.5485899999999999E-3</v>
      </c>
      <c r="V194" t="s">
        <v>482</v>
      </c>
      <c r="W194" t="s">
        <v>483</v>
      </c>
      <c r="Y194" t="s">
        <v>197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267</v>
      </c>
    </row>
    <row r="195" spans="1:166" x14ac:dyDescent="0.3">
      <c r="A195" t="s">
        <v>768</v>
      </c>
      <c r="B195" t="s">
        <v>769</v>
      </c>
      <c r="E195" t="s">
        <v>479</v>
      </c>
      <c r="F195">
        <v>9.0819989999999997</v>
      </c>
      <c r="G195">
        <v>8.6752769999999995</v>
      </c>
      <c r="H195" t="s">
        <v>166</v>
      </c>
      <c r="I195">
        <v>470</v>
      </c>
      <c r="J195" t="s">
        <v>166</v>
      </c>
      <c r="K195">
        <v>470</v>
      </c>
      <c r="L195" t="s">
        <v>167</v>
      </c>
      <c r="M195">
        <v>469</v>
      </c>
      <c r="N195" t="s">
        <v>167</v>
      </c>
      <c r="O195" t="s">
        <v>490</v>
      </c>
      <c r="P195" t="s">
        <v>330</v>
      </c>
      <c r="Q195">
        <v>0</v>
      </c>
      <c r="R195">
        <v>9.3133400000000002E-4</v>
      </c>
      <c r="V195" t="s">
        <v>482</v>
      </c>
      <c r="W195" t="s">
        <v>483</v>
      </c>
      <c r="Y195" t="s">
        <v>197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1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85</v>
      </c>
    </row>
    <row r="196" spans="1:166" x14ac:dyDescent="0.3">
      <c r="A196" t="s">
        <v>770</v>
      </c>
      <c r="B196" t="s">
        <v>771</v>
      </c>
      <c r="E196" t="s">
        <v>479</v>
      </c>
      <c r="F196">
        <v>9.0819989999999997</v>
      </c>
      <c r="G196">
        <v>8.6752769999999995</v>
      </c>
      <c r="H196" t="s">
        <v>166</v>
      </c>
      <c r="I196">
        <v>470</v>
      </c>
      <c r="J196" t="s">
        <v>166</v>
      </c>
      <c r="K196">
        <v>470</v>
      </c>
      <c r="L196" t="s">
        <v>167</v>
      </c>
      <c r="M196">
        <v>469</v>
      </c>
      <c r="N196" t="s">
        <v>167</v>
      </c>
      <c r="O196" t="s">
        <v>490</v>
      </c>
      <c r="P196" t="s">
        <v>330</v>
      </c>
      <c r="Q196">
        <v>0</v>
      </c>
      <c r="R196">
        <v>9.3133400000000002E-4</v>
      </c>
      <c r="V196" t="s">
        <v>482</v>
      </c>
      <c r="W196" t="s">
        <v>483</v>
      </c>
      <c r="Y196" t="s">
        <v>197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85</v>
      </c>
    </row>
    <row r="197" spans="1:166" x14ac:dyDescent="0.3">
      <c r="A197" t="s">
        <v>772</v>
      </c>
      <c r="B197" t="s">
        <v>773</v>
      </c>
      <c r="E197" t="s">
        <v>479</v>
      </c>
      <c r="F197">
        <v>9.0819989999999997</v>
      </c>
      <c r="G197">
        <v>8.6752769999999995</v>
      </c>
      <c r="H197" t="s">
        <v>166</v>
      </c>
      <c r="I197">
        <v>470</v>
      </c>
      <c r="J197" t="s">
        <v>166</v>
      </c>
      <c r="K197">
        <v>470</v>
      </c>
      <c r="L197" t="s">
        <v>167</v>
      </c>
      <c r="M197">
        <v>469</v>
      </c>
      <c r="N197" t="s">
        <v>167</v>
      </c>
      <c r="O197" t="s">
        <v>704</v>
      </c>
      <c r="P197" t="s">
        <v>774</v>
      </c>
      <c r="Q197">
        <v>0</v>
      </c>
      <c r="R197">
        <v>9.3659399999999997E-3</v>
      </c>
      <c r="V197" t="s">
        <v>482</v>
      </c>
      <c r="W197" t="s">
        <v>483</v>
      </c>
      <c r="Y197" t="s">
        <v>197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1</v>
      </c>
      <c r="EZ197">
        <v>0</v>
      </c>
      <c r="FA197">
        <v>0</v>
      </c>
      <c r="FB197">
        <v>0</v>
      </c>
      <c r="FC197">
        <v>0</v>
      </c>
      <c r="FD197">
        <v>1</v>
      </c>
      <c r="FE197">
        <v>1</v>
      </c>
      <c r="FF197">
        <v>0</v>
      </c>
      <c r="FG197">
        <v>0</v>
      </c>
      <c r="FH197">
        <v>0</v>
      </c>
      <c r="FI197">
        <v>0</v>
      </c>
      <c r="FJ197">
        <v>1866</v>
      </c>
    </row>
    <row r="198" spans="1:166" x14ac:dyDescent="0.3">
      <c r="A198" t="s">
        <v>775</v>
      </c>
      <c r="B198" t="s">
        <v>776</v>
      </c>
      <c r="E198" t="s">
        <v>479</v>
      </c>
      <c r="F198">
        <v>9.0819989999999997</v>
      </c>
      <c r="G198">
        <v>8.6752769999999995</v>
      </c>
      <c r="H198" t="s">
        <v>166</v>
      </c>
      <c r="I198">
        <v>470</v>
      </c>
      <c r="J198" t="s">
        <v>166</v>
      </c>
      <c r="K198">
        <v>470</v>
      </c>
      <c r="L198" t="s">
        <v>167</v>
      </c>
      <c r="M198">
        <v>469</v>
      </c>
      <c r="N198" t="s">
        <v>167</v>
      </c>
      <c r="O198" t="s">
        <v>289</v>
      </c>
      <c r="P198" t="s">
        <v>777</v>
      </c>
      <c r="Q198">
        <v>0</v>
      </c>
      <c r="R198">
        <v>8.5582099999999999E-4</v>
      </c>
      <c r="V198" t="s">
        <v>482</v>
      </c>
      <c r="W198" t="s">
        <v>483</v>
      </c>
      <c r="Y198" t="s">
        <v>197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</v>
      </c>
      <c r="FC198">
        <v>0</v>
      </c>
      <c r="FD198">
        <v>1</v>
      </c>
      <c r="FE198">
        <v>0</v>
      </c>
      <c r="FF198">
        <v>0</v>
      </c>
      <c r="FG198">
        <v>1</v>
      </c>
      <c r="FH198">
        <v>0</v>
      </c>
      <c r="FI198">
        <v>0</v>
      </c>
      <c r="FJ198">
        <v>1</v>
      </c>
    </row>
    <row r="199" spans="1:166" x14ac:dyDescent="0.3">
      <c r="A199" t="s">
        <v>778</v>
      </c>
      <c r="B199" t="s">
        <v>779</v>
      </c>
      <c r="E199" t="s">
        <v>479</v>
      </c>
      <c r="F199">
        <v>9.0819989999999997</v>
      </c>
      <c r="G199">
        <v>8.6752769999999995</v>
      </c>
      <c r="H199" t="s">
        <v>166</v>
      </c>
      <c r="I199">
        <v>470</v>
      </c>
      <c r="J199" t="s">
        <v>166</v>
      </c>
      <c r="K199">
        <v>470</v>
      </c>
      <c r="L199" t="s">
        <v>167</v>
      </c>
      <c r="M199">
        <v>469</v>
      </c>
      <c r="N199" t="s">
        <v>167</v>
      </c>
      <c r="O199" t="s">
        <v>289</v>
      </c>
      <c r="P199" t="s">
        <v>524</v>
      </c>
      <c r="Q199">
        <v>0</v>
      </c>
      <c r="R199">
        <v>8.8095299999999997E-4</v>
      </c>
      <c r="V199" t="s">
        <v>482</v>
      </c>
      <c r="W199" t="s">
        <v>483</v>
      </c>
      <c r="Y199" t="s">
        <v>197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1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0</v>
      </c>
      <c r="FD199">
        <v>1</v>
      </c>
      <c r="FE199">
        <v>0</v>
      </c>
      <c r="FF199">
        <v>0</v>
      </c>
      <c r="FG199">
        <v>1</v>
      </c>
      <c r="FH199">
        <v>0</v>
      </c>
      <c r="FI199">
        <v>0</v>
      </c>
      <c r="FJ199">
        <v>1</v>
      </c>
    </row>
    <row r="200" spans="1:166" x14ac:dyDescent="0.3">
      <c r="A200" t="s">
        <v>780</v>
      </c>
      <c r="B200" t="s">
        <v>781</v>
      </c>
      <c r="E200" t="s">
        <v>479</v>
      </c>
      <c r="F200">
        <v>9.0819989999999997</v>
      </c>
      <c r="G200">
        <v>8.6752769999999995</v>
      </c>
      <c r="H200" t="s">
        <v>166</v>
      </c>
      <c r="I200">
        <v>470</v>
      </c>
      <c r="J200" t="s">
        <v>166</v>
      </c>
      <c r="K200">
        <v>470</v>
      </c>
      <c r="L200" t="s">
        <v>167</v>
      </c>
      <c r="M200">
        <v>469</v>
      </c>
      <c r="N200" t="s">
        <v>167</v>
      </c>
      <c r="O200" t="s">
        <v>782</v>
      </c>
      <c r="P200" t="s">
        <v>462</v>
      </c>
      <c r="Q200">
        <v>0</v>
      </c>
      <c r="R200">
        <v>2.0806499999999999E-3</v>
      </c>
      <c r="V200" t="s">
        <v>482</v>
      </c>
      <c r="W200" t="s">
        <v>483</v>
      </c>
      <c r="Y200" t="s">
        <v>197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1</v>
      </c>
      <c r="FB200">
        <v>0</v>
      </c>
      <c r="FC200">
        <v>1</v>
      </c>
      <c r="FD200">
        <v>0</v>
      </c>
      <c r="FE200">
        <v>0</v>
      </c>
      <c r="FF200">
        <v>1</v>
      </c>
      <c r="FG200">
        <v>0</v>
      </c>
      <c r="FH200">
        <v>0</v>
      </c>
      <c r="FI200">
        <v>0</v>
      </c>
      <c r="FJ200">
        <v>1</v>
      </c>
    </row>
    <row r="201" spans="1:166" x14ac:dyDescent="0.3">
      <c r="A201" t="s">
        <v>783</v>
      </c>
      <c r="B201" t="s">
        <v>784</v>
      </c>
      <c r="E201" t="s">
        <v>479</v>
      </c>
      <c r="F201">
        <v>9.0819989999999997</v>
      </c>
      <c r="G201">
        <v>8.6752769999999995</v>
      </c>
      <c r="H201" t="s">
        <v>166</v>
      </c>
      <c r="I201">
        <v>470</v>
      </c>
      <c r="J201" t="s">
        <v>166</v>
      </c>
      <c r="K201">
        <v>470</v>
      </c>
      <c r="L201" t="s">
        <v>167</v>
      </c>
      <c r="M201">
        <v>469</v>
      </c>
      <c r="N201" t="s">
        <v>167</v>
      </c>
      <c r="O201" t="s">
        <v>785</v>
      </c>
      <c r="P201" t="s">
        <v>786</v>
      </c>
      <c r="Q201">
        <v>0</v>
      </c>
      <c r="R201">
        <v>2.9975399999999999E-3</v>
      </c>
      <c r="V201" t="s">
        <v>482</v>
      </c>
      <c r="W201" t="s">
        <v>483</v>
      </c>
      <c r="Y201" t="s">
        <v>197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1910</v>
      </c>
    </row>
    <row r="202" spans="1:166" x14ac:dyDescent="0.3">
      <c r="A202" t="s">
        <v>787</v>
      </c>
      <c r="B202" t="s">
        <v>788</v>
      </c>
      <c r="E202" t="s">
        <v>479</v>
      </c>
      <c r="F202">
        <v>9.0819989999999997</v>
      </c>
      <c r="G202">
        <v>8.6752769999999995</v>
      </c>
      <c r="H202" t="s">
        <v>166</v>
      </c>
      <c r="I202">
        <v>470</v>
      </c>
      <c r="J202" t="s">
        <v>166</v>
      </c>
      <c r="K202">
        <v>470</v>
      </c>
      <c r="L202" t="s">
        <v>167</v>
      </c>
      <c r="M202">
        <v>469</v>
      </c>
      <c r="N202" t="s">
        <v>167</v>
      </c>
      <c r="O202" t="s">
        <v>789</v>
      </c>
      <c r="P202" t="s">
        <v>475</v>
      </c>
      <c r="Q202">
        <v>0</v>
      </c>
      <c r="R202">
        <v>2.2437099999999999E-3</v>
      </c>
      <c r="V202" t="s">
        <v>482</v>
      </c>
      <c r="W202" t="s">
        <v>483</v>
      </c>
      <c r="Y202" t="s">
        <v>197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338</v>
      </c>
    </row>
    <row r="203" spans="1:166" x14ac:dyDescent="0.3">
      <c r="A203" t="s">
        <v>790</v>
      </c>
      <c r="B203" t="s">
        <v>791</v>
      </c>
      <c r="E203" t="s">
        <v>479</v>
      </c>
      <c r="F203">
        <v>9.0819989999999997</v>
      </c>
      <c r="G203">
        <v>8.6752769999999995</v>
      </c>
      <c r="H203" t="s">
        <v>166</v>
      </c>
      <c r="I203">
        <v>470</v>
      </c>
      <c r="J203" t="s">
        <v>166</v>
      </c>
      <c r="K203">
        <v>470</v>
      </c>
      <c r="L203" t="s">
        <v>167</v>
      </c>
      <c r="M203">
        <v>469</v>
      </c>
      <c r="N203" t="s">
        <v>167</v>
      </c>
      <c r="O203" t="s">
        <v>289</v>
      </c>
      <c r="P203" t="s">
        <v>792</v>
      </c>
      <c r="Q203">
        <v>0</v>
      </c>
      <c r="R203">
        <v>5.0800599999999997E-4</v>
      </c>
      <c r="V203" t="s">
        <v>482</v>
      </c>
      <c r="W203" t="s">
        <v>483</v>
      </c>
      <c r="Y203" t="s">
        <v>197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1</v>
      </c>
      <c r="FD203">
        <v>1</v>
      </c>
      <c r="FE203">
        <v>0</v>
      </c>
      <c r="FF203">
        <v>0</v>
      </c>
      <c r="FG203">
        <v>1</v>
      </c>
      <c r="FH203">
        <v>0</v>
      </c>
      <c r="FI203">
        <v>0</v>
      </c>
      <c r="FJ203">
        <v>1</v>
      </c>
    </row>
    <row r="204" spans="1:166" x14ac:dyDescent="0.3">
      <c r="A204" t="s">
        <v>793</v>
      </c>
      <c r="B204" t="s">
        <v>794</v>
      </c>
      <c r="E204" t="s">
        <v>479</v>
      </c>
      <c r="F204">
        <v>9.0819989999999997</v>
      </c>
      <c r="G204">
        <v>8.6752769999999995</v>
      </c>
      <c r="H204" t="s">
        <v>166</v>
      </c>
      <c r="I204">
        <v>470</v>
      </c>
      <c r="J204" t="s">
        <v>166</v>
      </c>
      <c r="K204">
        <v>470</v>
      </c>
      <c r="L204" t="s">
        <v>167</v>
      </c>
      <c r="M204">
        <v>469</v>
      </c>
      <c r="N204" t="s">
        <v>167</v>
      </c>
      <c r="O204" t="s">
        <v>289</v>
      </c>
      <c r="P204" t="s">
        <v>611</v>
      </c>
      <c r="Q204">
        <v>0</v>
      </c>
      <c r="R204">
        <v>4.8344600000000001E-4</v>
      </c>
      <c r="V204" t="s">
        <v>482</v>
      </c>
      <c r="W204" t="s">
        <v>483</v>
      </c>
      <c r="Y204" t="s">
        <v>197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1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1</v>
      </c>
      <c r="FB204">
        <v>1</v>
      </c>
      <c r="FC204">
        <v>1</v>
      </c>
      <c r="FD204">
        <v>1</v>
      </c>
      <c r="FE204">
        <v>0</v>
      </c>
      <c r="FF204">
        <v>0</v>
      </c>
      <c r="FG204">
        <v>1</v>
      </c>
      <c r="FH204">
        <v>0</v>
      </c>
      <c r="FI204">
        <v>0</v>
      </c>
      <c r="FJ204">
        <v>1</v>
      </c>
    </row>
    <row r="205" spans="1:166" ht="28.8" x14ac:dyDescent="0.3">
      <c r="A205" t="s">
        <v>795</v>
      </c>
      <c r="B205" s="2" t="s">
        <v>796</v>
      </c>
      <c r="C205" s="2"/>
      <c r="D205" s="2"/>
      <c r="E205" t="s">
        <v>479</v>
      </c>
      <c r="F205">
        <v>9.0819989999999997</v>
      </c>
      <c r="G205">
        <v>8.6752769999999995</v>
      </c>
      <c r="H205" t="s">
        <v>166</v>
      </c>
      <c r="I205">
        <v>470</v>
      </c>
      <c r="J205" t="s">
        <v>166</v>
      </c>
      <c r="K205">
        <v>470</v>
      </c>
      <c r="L205" t="s">
        <v>167</v>
      </c>
      <c r="M205">
        <v>469</v>
      </c>
      <c r="N205" t="s">
        <v>167</v>
      </c>
      <c r="O205" t="s">
        <v>237</v>
      </c>
      <c r="P205" t="s">
        <v>797</v>
      </c>
      <c r="Q205">
        <v>0</v>
      </c>
      <c r="R205">
        <v>2.3533E-3</v>
      </c>
      <c r="V205" t="s">
        <v>482</v>
      </c>
      <c r="W205" t="s">
        <v>483</v>
      </c>
      <c r="Y205" t="s">
        <v>197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0</v>
      </c>
      <c r="DH205">
        <v>0</v>
      </c>
      <c r="DI205">
        <v>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821</v>
      </c>
    </row>
    <row r="206" spans="1:166" x14ac:dyDescent="0.3">
      <c r="A206" t="s">
        <v>798</v>
      </c>
      <c r="B206" t="s">
        <v>799</v>
      </c>
      <c r="E206" t="s">
        <v>479</v>
      </c>
      <c r="F206">
        <v>9.0819989999999997</v>
      </c>
      <c r="G206">
        <v>8.6752769999999995</v>
      </c>
      <c r="H206" t="s">
        <v>166</v>
      </c>
      <c r="I206">
        <v>470</v>
      </c>
      <c r="J206" t="s">
        <v>166</v>
      </c>
      <c r="K206">
        <v>470</v>
      </c>
      <c r="L206" t="s">
        <v>167</v>
      </c>
      <c r="M206">
        <v>469</v>
      </c>
      <c r="N206" t="s">
        <v>167</v>
      </c>
      <c r="O206" t="s">
        <v>321</v>
      </c>
      <c r="P206" t="s">
        <v>351</v>
      </c>
      <c r="Q206">
        <v>0</v>
      </c>
      <c r="R206">
        <v>1.98862E-2</v>
      </c>
      <c r="V206" t="s">
        <v>482</v>
      </c>
      <c r="W206" t="s">
        <v>483</v>
      </c>
      <c r="Y206" t="s">
        <v>197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0</v>
      </c>
      <c r="EU206">
        <v>0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1904</v>
      </c>
    </row>
    <row r="207" spans="1:166" x14ac:dyDescent="0.3">
      <c r="A207" t="s">
        <v>800</v>
      </c>
      <c r="B207" t="s">
        <v>801</v>
      </c>
      <c r="E207" t="s">
        <v>479</v>
      </c>
      <c r="F207">
        <v>9.0819989999999997</v>
      </c>
      <c r="G207">
        <v>8.6752769999999995</v>
      </c>
      <c r="H207" t="s">
        <v>166</v>
      </c>
      <c r="I207">
        <v>470</v>
      </c>
      <c r="J207" t="s">
        <v>166</v>
      </c>
      <c r="K207">
        <v>470</v>
      </c>
      <c r="L207" t="s">
        <v>167</v>
      </c>
      <c r="M207">
        <v>469</v>
      </c>
      <c r="N207" t="s">
        <v>167</v>
      </c>
      <c r="O207" t="s">
        <v>673</v>
      </c>
      <c r="P207" t="s">
        <v>802</v>
      </c>
      <c r="Q207">
        <v>0</v>
      </c>
      <c r="R207">
        <v>1.1599900000000001E-3</v>
      </c>
      <c r="V207" t="s">
        <v>482</v>
      </c>
      <c r="W207" t="s">
        <v>483</v>
      </c>
      <c r="Y207" t="s">
        <v>197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1</v>
      </c>
      <c r="FB207">
        <v>0</v>
      </c>
      <c r="FC207">
        <v>1</v>
      </c>
      <c r="FD207">
        <v>1</v>
      </c>
      <c r="FE207">
        <v>0</v>
      </c>
      <c r="FF207">
        <v>0</v>
      </c>
      <c r="FG207">
        <v>1</v>
      </c>
      <c r="FH207">
        <v>0</v>
      </c>
      <c r="FI207">
        <v>0</v>
      </c>
      <c r="FJ207">
        <v>2</v>
      </c>
    </row>
    <row r="208" spans="1:166" x14ac:dyDescent="0.3">
      <c r="A208" t="s">
        <v>803</v>
      </c>
      <c r="B208" t="s">
        <v>804</v>
      </c>
      <c r="E208" t="s">
        <v>479</v>
      </c>
      <c r="F208">
        <v>9.0819989999999997</v>
      </c>
      <c r="G208">
        <v>8.6752769999999995</v>
      </c>
      <c r="H208" t="s">
        <v>166</v>
      </c>
      <c r="I208">
        <v>470</v>
      </c>
      <c r="J208" t="s">
        <v>166</v>
      </c>
      <c r="K208">
        <v>470</v>
      </c>
      <c r="L208" t="s">
        <v>167</v>
      </c>
      <c r="M208">
        <v>469</v>
      </c>
      <c r="N208" t="s">
        <v>167</v>
      </c>
      <c r="O208" t="s">
        <v>673</v>
      </c>
      <c r="P208" t="s">
        <v>802</v>
      </c>
      <c r="Q208">
        <v>0</v>
      </c>
      <c r="R208">
        <v>1.1599900000000001E-3</v>
      </c>
      <c r="V208" t="s">
        <v>482</v>
      </c>
      <c r="W208" t="s">
        <v>483</v>
      </c>
      <c r="Y208" t="s">
        <v>197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1</v>
      </c>
      <c r="FB208">
        <v>0</v>
      </c>
      <c r="FC208">
        <v>1</v>
      </c>
      <c r="FD208">
        <v>1</v>
      </c>
      <c r="FE208">
        <v>0</v>
      </c>
      <c r="FF208">
        <v>0</v>
      </c>
      <c r="FG208">
        <v>1</v>
      </c>
      <c r="FH208">
        <v>0</v>
      </c>
      <c r="FI208">
        <v>0</v>
      </c>
      <c r="FJ208">
        <v>2</v>
      </c>
    </row>
    <row r="209" spans="1:166" x14ac:dyDescent="0.3">
      <c r="A209" t="s">
        <v>805</v>
      </c>
      <c r="B209" t="s">
        <v>806</v>
      </c>
      <c r="E209" t="s">
        <v>479</v>
      </c>
      <c r="F209">
        <v>9.0819989999999997</v>
      </c>
      <c r="G209">
        <v>8.6752769999999995</v>
      </c>
      <c r="H209" t="s">
        <v>166</v>
      </c>
      <c r="I209">
        <v>470</v>
      </c>
      <c r="J209" t="s">
        <v>166</v>
      </c>
      <c r="K209">
        <v>470</v>
      </c>
      <c r="L209" t="s">
        <v>167</v>
      </c>
      <c r="M209">
        <v>469</v>
      </c>
      <c r="N209" t="s">
        <v>167</v>
      </c>
      <c r="O209" t="s">
        <v>673</v>
      </c>
      <c r="P209" t="s">
        <v>802</v>
      </c>
      <c r="Q209">
        <v>0</v>
      </c>
      <c r="R209">
        <v>1.1599900000000001E-3</v>
      </c>
      <c r="V209" t="s">
        <v>482</v>
      </c>
      <c r="W209" t="s">
        <v>483</v>
      </c>
      <c r="Y209" t="s">
        <v>197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1</v>
      </c>
      <c r="FB209">
        <v>0</v>
      </c>
      <c r="FC209">
        <v>1</v>
      </c>
      <c r="FD209">
        <v>1</v>
      </c>
      <c r="FE209">
        <v>0</v>
      </c>
      <c r="FF209">
        <v>0</v>
      </c>
      <c r="FG209">
        <v>1</v>
      </c>
      <c r="FH209">
        <v>0</v>
      </c>
      <c r="FI209">
        <v>0</v>
      </c>
      <c r="FJ209">
        <v>2</v>
      </c>
    </row>
    <row r="210" spans="1:166" x14ac:dyDescent="0.3">
      <c r="A210" t="s">
        <v>807</v>
      </c>
      <c r="B210" t="s">
        <v>808</v>
      </c>
      <c r="E210" t="s">
        <v>479</v>
      </c>
      <c r="F210">
        <v>9.0819989999999997</v>
      </c>
      <c r="G210">
        <v>8.6752769999999995</v>
      </c>
      <c r="H210" t="s">
        <v>166</v>
      </c>
      <c r="I210">
        <v>470</v>
      </c>
      <c r="J210" t="s">
        <v>166</v>
      </c>
      <c r="K210">
        <v>470</v>
      </c>
      <c r="L210" t="s">
        <v>167</v>
      </c>
      <c r="M210">
        <v>469</v>
      </c>
      <c r="N210" t="s">
        <v>167</v>
      </c>
      <c r="O210" t="s">
        <v>725</v>
      </c>
      <c r="P210" t="s">
        <v>375</v>
      </c>
      <c r="Q210">
        <v>0</v>
      </c>
      <c r="R210">
        <v>1.7327099999999999E-3</v>
      </c>
      <c r="V210" t="s">
        <v>482</v>
      </c>
      <c r="W210" t="s">
        <v>483</v>
      </c>
      <c r="Y210" t="s">
        <v>197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0</v>
      </c>
      <c r="FA210">
        <v>1</v>
      </c>
      <c r="FB210">
        <v>0</v>
      </c>
      <c r="FC210">
        <v>1</v>
      </c>
      <c r="FD210">
        <v>1</v>
      </c>
      <c r="FE210">
        <v>0</v>
      </c>
      <c r="FF210">
        <v>0</v>
      </c>
      <c r="FG210">
        <v>1</v>
      </c>
      <c r="FH210">
        <v>0</v>
      </c>
      <c r="FI210">
        <v>0</v>
      </c>
      <c r="FJ210">
        <v>2</v>
      </c>
    </row>
    <row r="211" spans="1:166" x14ac:dyDescent="0.3">
      <c r="A211" t="s">
        <v>809</v>
      </c>
      <c r="B211" t="s">
        <v>810</v>
      </c>
      <c r="E211" t="s">
        <v>479</v>
      </c>
      <c r="F211">
        <v>9.0819989999999997</v>
      </c>
      <c r="G211">
        <v>8.6752769999999995</v>
      </c>
      <c r="H211" t="s">
        <v>166</v>
      </c>
      <c r="I211">
        <v>470</v>
      </c>
      <c r="J211" t="s">
        <v>166</v>
      </c>
      <c r="K211">
        <v>470</v>
      </c>
      <c r="L211" t="s">
        <v>167</v>
      </c>
      <c r="M211">
        <v>469</v>
      </c>
      <c r="N211" t="s">
        <v>167</v>
      </c>
      <c r="O211" t="s">
        <v>811</v>
      </c>
      <c r="P211" t="s">
        <v>812</v>
      </c>
      <c r="Q211">
        <v>0</v>
      </c>
      <c r="R211">
        <v>3.40187E-3</v>
      </c>
      <c r="V211" t="s">
        <v>482</v>
      </c>
      <c r="W211" t="s">
        <v>483</v>
      </c>
      <c r="Y211" t="s">
        <v>197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1</v>
      </c>
      <c r="FE211">
        <v>1</v>
      </c>
      <c r="FF211">
        <v>0</v>
      </c>
      <c r="FG211">
        <v>1</v>
      </c>
      <c r="FH211">
        <v>1</v>
      </c>
      <c r="FI211">
        <v>0</v>
      </c>
      <c r="FJ211">
        <v>107</v>
      </c>
    </row>
    <row r="212" spans="1:166" x14ac:dyDescent="0.3">
      <c r="A212" t="s">
        <v>813</v>
      </c>
      <c r="B212" t="s">
        <v>814</v>
      </c>
      <c r="E212" t="s">
        <v>479</v>
      </c>
      <c r="F212">
        <v>9.0819989999999997</v>
      </c>
      <c r="G212">
        <v>8.6752769999999995</v>
      </c>
      <c r="H212" t="s">
        <v>166</v>
      </c>
      <c r="I212">
        <v>470</v>
      </c>
      <c r="J212" t="s">
        <v>166</v>
      </c>
      <c r="K212">
        <v>470</v>
      </c>
      <c r="L212" t="s">
        <v>167</v>
      </c>
      <c r="M212">
        <v>469</v>
      </c>
      <c r="N212" t="s">
        <v>167</v>
      </c>
      <c r="O212" t="s">
        <v>815</v>
      </c>
      <c r="P212" t="s">
        <v>391</v>
      </c>
      <c r="Q212">
        <v>0</v>
      </c>
      <c r="R212">
        <v>5.8191000000000004E-4</v>
      </c>
      <c r="V212" t="s">
        <v>482</v>
      </c>
      <c r="W212" t="s">
        <v>483</v>
      </c>
      <c r="Y212" t="s">
        <v>197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1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1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1</v>
      </c>
      <c r="EZ212">
        <v>0</v>
      </c>
      <c r="FA212">
        <v>0</v>
      </c>
      <c r="FB212">
        <v>0</v>
      </c>
      <c r="FC212">
        <v>1</v>
      </c>
      <c r="FD212">
        <v>1</v>
      </c>
      <c r="FE212">
        <v>0</v>
      </c>
      <c r="FF212">
        <v>0</v>
      </c>
      <c r="FG212">
        <v>1</v>
      </c>
      <c r="FH212">
        <v>0</v>
      </c>
      <c r="FI212">
        <v>0</v>
      </c>
      <c r="FJ212">
        <v>25</v>
      </c>
    </row>
    <row r="213" spans="1:166" x14ac:dyDescent="0.3">
      <c r="A213" t="s">
        <v>816</v>
      </c>
      <c r="B213" t="s">
        <v>817</v>
      </c>
      <c r="E213" t="s">
        <v>479</v>
      </c>
      <c r="F213">
        <v>9.0819989999999997</v>
      </c>
      <c r="G213">
        <v>8.6752769999999995</v>
      </c>
      <c r="H213" t="s">
        <v>166</v>
      </c>
      <c r="I213">
        <v>470</v>
      </c>
      <c r="J213" t="s">
        <v>166</v>
      </c>
      <c r="K213">
        <v>470</v>
      </c>
      <c r="L213" t="s">
        <v>167</v>
      </c>
      <c r="M213">
        <v>469</v>
      </c>
      <c r="N213" t="s">
        <v>167</v>
      </c>
      <c r="O213" t="s">
        <v>818</v>
      </c>
      <c r="P213" t="s">
        <v>819</v>
      </c>
      <c r="Q213">
        <v>0</v>
      </c>
      <c r="R213">
        <v>1.94597E-3</v>
      </c>
      <c r="V213" t="s">
        <v>482</v>
      </c>
      <c r="W213" t="s">
        <v>483</v>
      </c>
      <c r="Y213" t="s">
        <v>197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1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1</v>
      </c>
      <c r="FF213">
        <v>0</v>
      </c>
      <c r="FG213">
        <v>0</v>
      </c>
      <c r="FH213">
        <v>0</v>
      </c>
      <c r="FI213">
        <v>0</v>
      </c>
      <c r="FJ213">
        <v>52</v>
      </c>
    </row>
    <row r="214" spans="1:166" x14ac:dyDescent="0.3">
      <c r="A214" t="s">
        <v>820</v>
      </c>
      <c r="B214" t="s">
        <v>821</v>
      </c>
      <c r="E214" t="s">
        <v>479</v>
      </c>
      <c r="F214">
        <v>9.0819989999999997</v>
      </c>
      <c r="G214">
        <v>8.6752769999999995</v>
      </c>
      <c r="H214" t="s">
        <v>166</v>
      </c>
      <c r="I214">
        <v>470</v>
      </c>
      <c r="J214" t="s">
        <v>166</v>
      </c>
      <c r="K214">
        <v>470</v>
      </c>
      <c r="L214" t="s">
        <v>167</v>
      </c>
      <c r="M214">
        <v>469</v>
      </c>
      <c r="N214" t="s">
        <v>167</v>
      </c>
      <c r="O214" t="s">
        <v>237</v>
      </c>
      <c r="P214" t="s">
        <v>305</v>
      </c>
      <c r="Q214">
        <v>0</v>
      </c>
      <c r="R214">
        <v>2.32584E-3</v>
      </c>
      <c r="V214" t="s">
        <v>482</v>
      </c>
      <c r="W214" t="s">
        <v>483</v>
      </c>
      <c r="Y214" t="s">
        <v>197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1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1</v>
      </c>
      <c r="FE214">
        <v>1</v>
      </c>
      <c r="FF214">
        <v>0</v>
      </c>
      <c r="FG214">
        <v>0</v>
      </c>
      <c r="FH214">
        <v>0</v>
      </c>
      <c r="FI214">
        <v>0</v>
      </c>
      <c r="FJ214">
        <v>821</v>
      </c>
    </row>
    <row r="215" spans="1:166" x14ac:dyDescent="0.3">
      <c r="A215" t="s">
        <v>822</v>
      </c>
      <c r="B215" t="s">
        <v>823</v>
      </c>
      <c r="E215" t="s">
        <v>479</v>
      </c>
      <c r="F215">
        <v>9.0819989999999997</v>
      </c>
      <c r="G215">
        <v>8.6752769999999995</v>
      </c>
      <c r="H215" t="s">
        <v>166</v>
      </c>
      <c r="I215">
        <v>470</v>
      </c>
      <c r="J215" t="s">
        <v>166</v>
      </c>
      <c r="K215">
        <v>470</v>
      </c>
      <c r="L215" t="s">
        <v>167</v>
      </c>
      <c r="M215">
        <v>469</v>
      </c>
      <c r="N215" t="s">
        <v>167</v>
      </c>
      <c r="O215" t="s">
        <v>237</v>
      </c>
      <c r="P215" t="s">
        <v>305</v>
      </c>
      <c r="Q215">
        <v>0</v>
      </c>
      <c r="R215">
        <v>2.32584E-3</v>
      </c>
      <c r="V215" t="s">
        <v>482</v>
      </c>
      <c r="W215" t="s">
        <v>483</v>
      </c>
      <c r="Y215" t="s">
        <v>197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1</v>
      </c>
      <c r="EY215">
        <v>1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821</v>
      </c>
    </row>
    <row r="216" spans="1:166" x14ac:dyDescent="0.3">
      <c r="A216" t="s">
        <v>824</v>
      </c>
      <c r="B216" t="s">
        <v>825</v>
      </c>
      <c r="E216" t="s">
        <v>479</v>
      </c>
      <c r="F216">
        <v>9.0819989999999997</v>
      </c>
      <c r="G216">
        <v>8.6752769999999995</v>
      </c>
      <c r="H216" t="s">
        <v>166</v>
      </c>
      <c r="I216">
        <v>470</v>
      </c>
      <c r="J216" t="s">
        <v>166</v>
      </c>
      <c r="K216">
        <v>470</v>
      </c>
      <c r="L216" t="s">
        <v>167</v>
      </c>
      <c r="M216">
        <v>469</v>
      </c>
      <c r="N216" t="s">
        <v>167</v>
      </c>
      <c r="O216" t="s">
        <v>826</v>
      </c>
      <c r="P216" t="s">
        <v>475</v>
      </c>
      <c r="Q216">
        <v>0</v>
      </c>
      <c r="R216">
        <v>2.2437099999999999E-3</v>
      </c>
      <c r="V216" t="s">
        <v>482</v>
      </c>
      <c r="W216" t="s">
        <v>483</v>
      </c>
      <c r="Y216" t="s">
        <v>197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1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1</v>
      </c>
      <c r="FF216">
        <v>0</v>
      </c>
      <c r="FG216">
        <v>0</v>
      </c>
      <c r="FH216">
        <v>0</v>
      </c>
      <c r="FI216">
        <v>0</v>
      </c>
      <c r="FJ216">
        <v>164</v>
      </c>
    </row>
    <row r="217" spans="1:166" x14ac:dyDescent="0.3">
      <c r="A217" t="s">
        <v>827</v>
      </c>
      <c r="B217" t="s">
        <v>828</v>
      </c>
      <c r="E217" t="s">
        <v>479</v>
      </c>
      <c r="F217">
        <v>9.0819989999999997</v>
      </c>
      <c r="G217">
        <v>8.6752769999999995</v>
      </c>
      <c r="H217" t="s">
        <v>166</v>
      </c>
      <c r="I217">
        <v>470</v>
      </c>
      <c r="J217" t="s">
        <v>166</v>
      </c>
      <c r="K217">
        <v>470</v>
      </c>
      <c r="L217" t="s">
        <v>167</v>
      </c>
      <c r="M217">
        <v>469</v>
      </c>
      <c r="N217" t="s">
        <v>167</v>
      </c>
      <c r="O217" t="s">
        <v>829</v>
      </c>
      <c r="P217" t="s">
        <v>830</v>
      </c>
      <c r="Q217">
        <v>0</v>
      </c>
      <c r="R217">
        <v>1.68963E-2</v>
      </c>
      <c r="V217" t="s">
        <v>482</v>
      </c>
      <c r="W217" t="s">
        <v>483</v>
      </c>
      <c r="Y217" t="s">
        <v>197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471</v>
      </c>
    </row>
    <row r="218" spans="1:166" x14ac:dyDescent="0.3">
      <c r="A218" t="s">
        <v>831</v>
      </c>
      <c r="B218" t="s">
        <v>832</v>
      </c>
      <c r="E218" t="s">
        <v>479</v>
      </c>
      <c r="F218">
        <v>9.0819989999999997</v>
      </c>
      <c r="G218">
        <v>8.6752769999999995</v>
      </c>
      <c r="H218" t="s">
        <v>166</v>
      </c>
      <c r="I218">
        <v>470</v>
      </c>
      <c r="J218" t="s">
        <v>166</v>
      </c>
      <c r="K218">
        <v>470</v>
      </c>
      <c r="L218" t="s">
        <v>167</v>
      </c>
      <c r="M218">
        <v>469</v>
      </c>
      <c r="N218" t="s">
        <v>167</v>
      </c>
      <c r="O218" t="s">
        <v>833</v>
      </c>
      <c r="P218" t="s">
        <v>834</v>
      </c>
      <c r="Q218">
        <v>0</v>
      </c>
      <c r="R218">
        <v>2.0266500000000001E-3</v>
      </c>
      <c r="V218" t="s">
        <v>482</v>
      </c>
      <c r="W218" t="s">
        <v>483</v>
      </c>
      <c r="Y218" t="s">
        <v>197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1</v>
      </c>
      <c r="FF218">
        <v>0</v>
      </c>
      <c r="FG218">
        <v>0</v>
      </c>
      <c r="FH218">
        <v>0</v>
      </c>
      <c r="FI218">
        <v>0</v>
      </c>
      <c r="FJ218">
        <v>164</v>
      </c>
    </row>
    <row r="219" spans="1:166" x14ac:dyDescent="0.3">
      <c r="A219" t="s">
        <v>835</v>
      </c>
      <c r="B219" t="s">
        <v>836</v>
      </c>
      <c r="E219" t="s">
        <v>479</v>
      </c>
      <c r="F219">
        <v>9.0819989999999997</v>
      </c>
      <c r="G219">
        <v>8.6752769999999995</v>
      </c>
      <c r="H219" t="s">
        <v>166</v>
      </c>
      <c r="I219">
        <v>470</v>
      </c>
      <c r="J219" t="s">
        <v>166</v>
      </c>
      <c r="K219">
        <v>470</v>
      </c>
      <c r="L219" t="s">
        <v>167</v>
      </c>
      <c r="M219">
        <v>469</v>
      </c>
      <c r="N219" t="s">
        <v>167</v>
      </c>
      <c r="O219" t="s">
        <v>837</v>
      </c>
      <c r="P219" t="s">
        <v>838</v>
      </c>
      <c r="Q219">
        <v>0</v>
      </c>
      <c r="R219">
        <v>1.7242400000000001E-2</v>
      </c>
      <c r="V219" t="s">
        <v>482</v>
      </c>
      <c r="W219" t="s">
        <v>483</v>
      </c>
      <c r="Y219" t="s">
        <v>197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1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1905</v>
      </c>
    </row>
    <row r="220" spans="1:166" ht="28.8" x14ac:dyDescent="0.3">
      <c r="A220" t="s">
        <v>839</v>
      </c>
      <c r="B220" s="2" t="s">
        <v>840</v>
      </c>
      <c r="C220" s="2"/>
      <c r="D220" s="2"/>
      <c r="E220" t="s">
        <v>479</v>
      </c>
      <c r="F220">
        <v>9.0819989999999997</v>
      </c>
      <c r="G220">
        <v>8.6752769999999995</v>
      </c>
      <c r="H220" t="s">
        <v>166</v>
      </c>
      <c r="I220">
        <v>470</v>
      </c>
      <c r="J220" t="s">
        <v>166</v>
      </c>
      <c r="K220">
        <v>470</v>
      </c>
      <c r="L220" t="s">
        <v>167</v>
      </c>
      <c r="M220">
        <v>469</v>
      </c>
      <c r="N220" t="s">
        <v>167</v>
      </c>
      <c r="O220" t="s">
        <v>841</v>
      </c>
      <c r="P220" t="s">
        <v>842</v>
      </c>
      <c r="Q220">
        <v>0</v>
      </c>
      <c r="R220">
        <v>1.9244500000000001E-2</v>
      </c>
      <c r="V220" t="s">
        <v>482</v>
      </c>
      <c r="W220" t="s">
        <v>483</v>
      </c>
      <c r="Y220" t="s">
        <v>197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1470</v>
      </c>
    </row>
    <row r="221" spans="1:166" x14ac:dyDescent="0.3">
      <c r="A221" t="s">
        <v>843</v>
      </c>
      <c r="B221" t="s">
        <v>844</v>
      </c>
      <c r="E221" t="s">
        <v>479</v>
      </c>
      <c r="F221">
        <v>9.0819989999999997</v>
      </c>
      <c r="G221">
        <v>8.6752769999999995</v>
      </c>
      <c r="H221" t="s">
        <v>166</v>
      </c>
      <c r="I221">
        <v>470</v>
      </c>
      <c r="J221" t="s">
        <v>166</v>
      </c>
      <c r="K221">
        <v>470</v>
      </c>
      <c r="L221" t="s">
        <v>167</v>
      </c>
      <c r="M221">
        <v>469</v>
      </c>
      <c r="N221" t="s">
        <v>167</v>
      </c>
      <c r="O221" t="s">
        <v>826</v>
      </c>
      <c r="P221" t="s">
        <v>258</v>
      </c>
      <c r="Q221">
        <v>0</v>
      </c>
      <c r="R221">
        <v>2.4912900000000002E-3</v>
      </c>
      <c r="V221" t="s">
        <v>482</v>
      </c>
      <c r="W221" t="s">
        <v>483</v>
      </c>
      <c r="Y221" t="s">
        <v>197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1909</v>
      </c>
    </row>
    <row r="222" spans="1:166" x14ac:dyDescent="0.3">
      <c r="A222" t="s">
        <v>845</v>
      </c>
      <c r="B222" t="s">
        <v>846</v>
      </c>
      <c r="E222" t="s">
        <v>479</v>
      </c>
      <c r="F222">
        <v>9.0819989999999997</v>
      </c>
      <c r="G222">
        <v>8.6752769999999995</v>
      </c>
      <c r="H222" t="s">
        <v>166</v>
      </c>
      <c r="I222">
        <v>470</v>
      </c>
      <c r="J222" t="s">
        <v>166</v>
      </c>
      <c r="K222">
        <v>470</v>
      </c>
      <c r="L222" t="s">
        <v>167</v>
      </c>
      <c r="M222">
        <v>469</v>
      </c>
      <c r="N222" t="s">
        <v>167</v>
      </c>
      <c r="O222" t="s">
        <v>785</v>
      </c>
      <c r="P222" t="s">
        <v>786</v>
      </c>
      <c r="Q222">
        <v>0</v>
      </c>
      <c r="R222">
        <v>2.9975399999999999E-3</v>
      </c>
      <c r="V222" t="s">
        <v>482</v>
      </c>
      <c r="W222" t="s">
        <v>483</v>
      </c>
      <c r="Y222" t="s">
        <v>197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0</v>
      </c>
      <c r="FF222">
        <v>0</v>
      </c>
      <c r="FG222">
        <v>1</v>
      </c>
      <c r="FH222">
        <v>0</v>
      </c>
      <c r="FI222">
        <v>0</v>
      </c>
      <c r="FJ222">
        <v>1910</v>
      </c>
    </row>
    <row r="223" spans="1:166" x14ac:dyDescent="0.3">
      <c r="A223" t="s">
        <v>847</v>
      </c>
      <c r="B223" t="s">
        <v>848</v>
      </c>
      <c r="E223" t="s">
        <v>479</v>
      </c>
      <c r="F223">
        <v>9.0819989999999997</v>
      </c>
      <c r="G223">
        <v>8.6752769999999995</v>
      </c>
      <c r="H223" t="s">
        <v>166</v>
      </c>
      <c r="I223">
        <v>470</v>
      </c>
      <c r="J223" t="s">
        <v>166</v>
      </c>
      <c r="K223">
        <v>470</v>
      </c>
      <c r="L223" t="s">
        <v>167</v>
      </c>
      <c r="M223">
        <v>469</v>
      </c>
      <c r="N223" t="s">
        <v>167</v>
      </c>
      <c r="O223" t="s">
        <v>785</v>
      </c>
      <c r="P223" t="s">
        <v>786</v>
      </c>
      <c r="Q223">
        <v>0</v>
      </c>
      <c r="R223">
        <v>2.9975399999999999E-3</v>
      </c>
      <c r="V223" t="s">
        <v>482</v>
      </c>
      <c r="W223" t="s">
        <v>483</v>
      </c>
      <c r="Y223" t="s">
        <v>197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0</v>
      </c>
      <c r="FI223">
        <v>0</v>
      </c>
      <c r="FJ223">
        <v>1910</v>
      </c>
    </row>
    <row r="224" spans="1:166" x14ac:dyDescent="0.3">
      <c r="A224" t="s">
        <v>849</v>
      </c>
      <c r="B224" t="s">
        <v>850</v>
      </c>
      <c r="E224" t="s">
        <v>479</v>
      </c>
      <c r="F224">
        <v>9.0819989999999997</v>
      </c>
      <c r="G224">
        <v>8.6752769999999995</v>
      </c>
      <c r="H224" t="s">
        <v>166</v>
      </c>
      <c r="I224">
        <v>470</v>
      </c>
      <c r="J224" t="s">
        <v>166</v>
      </c>
      <c r="K224">
        <v>470</v>
      </c>
      <c r="L224" t="s">
        <v>167</v>
      </c>
      <c r="M224">
        <v>469</v>
      </c>
      <c r="N224" t="s">
        <v>167</v>
      </c>
      <c r="O224" t="s">
        <v>490</v>
      </c>
      <c r="P224" t="s">
        <v>333</v>
      </c>
      <c r="Q224">
        <v>0</v>
      </c>
      <c r="R224">
        <v>1.0325600000000001E-3</v>
      </c>
      <c r="V224" t="s">
        <v>482</v>
      </c>
      <c r="W224" t="s">
        <v>483</v>
      </c>
      <c r="Y224" t="s">
        <v>197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1</v>
      </c>
      <c r="EY224">
        <v>1</v>
      </c>
      <c r="EZ224">
        <v>0</v>
      </c>
      <c r="FA224">
        <v>0</v>
      </c>
      <c r="FB224">
        <v>0</v>
      </c>
      <c r="FC224">
        <v>0</v>
      </c>
      <c r="FD224">
        <v>1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85</v>
      </c>
    </row>
    <row r="225" spans="1:166" x14ac:dyDescent="0.3">
      <c r="A225" t="s">
        <v>851</v>
      </c>
      <c r="B225" t="s">
        <v>852</v>
      </c>
      <c r="E225" t="s">
        <v>479</v>
      </c>
      <c r="F225">
        <v>9.0819989999999997</v>
      </c>
      <c r="G225">
        <v>8.6752769999999995</v>
      </c>
      <c r="H225" t="s">
        <v>166</v>
      </c>
      <c r="I225">
        <v>470</v>
      </c>
      <c r="J225" t="s">
        <v>166</v>
      </c>
      <c r="K225">
        <v>470</v>
      </c>
      <c r="L225" t="s">
        <v>167</v>
      </c>
      <c r="M225">
        <v>469</v>
      </c>
      <c r="N225" t="s">
        <v>167</v>
      </c>
      <c r="O225" t="s">
        <v>785</v>
      </c>
      <c r="P225" t="s">
        <v>786</v>
      </c>
      <c r="Q225">
        <v>0</v>
      </c>
      <c r="R225">
        <v>2.9975399999999999E-3</v>
      </c>
      <c r="V225" t="s">
        <v>482</v>
      </c>
      <c r="W225" t="s">
        <v>483</v>
      </c>
      <c r="Y225" t="s">
        <v>197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1</v>
      </c>
      <c r="FH225">
        <v>0</v>
      </c>
      <c r="FI225">
        <v>0</v>
      </c>
      <c r="FJ225">
        <v>1910</v>
      </c>
    </row>
    <row r="226" spans="1:166" x14ac:dyDescent="0.3">
      <c r="A226" t="s">
        <v>853</v>
      </c>
      <c r="B226" t="s">
        <v>854</v>
      </c>
      <c r="E226" t="s">
        <v>479</v>
      </c>
      <c r="F226">
        <v>9.0819989999999997</v>
      </c>
      <c r="G226">
        <v>8.6752769999999995</v>
      </c>
      <c r="H226" t="s">
        <v>166</v>
      </c>
      <c r="I226">
        <v>470</v>
      </c>
      <c r="J226" t="s">
        <v>166</v>
      </c>
      <c r="K226">
        <v>470</v>
      </c>
      <c r="L226" t="s">
        <v>167</v>
      </c>
      <c r="M226">
        <v>469</v>
      </c>
      <c r="N226" t="s">
        <v>167</v>
      </c>
      <c r="O226" t="s">
        <v>855</v>
      </c>
      <c r="P226" t="s">
        <v>856</v>
      </c>
      <c r="Q226">
        <v>0</v>
      </c>
      <c r="R226">
        <v>1.66683E-2</v>
      </c>
      <c r="V226" t="s">
        <v>482</v>
      </c>
      <c r="W226" t="s">
        <v>483</v>
      </c>
      <c r="Y226" t="s">
        <v>197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1</v>
      </c>
      <c r="FE226">
        <v>0</v>
      </c>
      <c r="FF226">
        <v>0</v>
      </c>
      <c r="FG226">
        <v>1</v>
      </c>
      <c r="FH226">
        <v>0</v>
      </c>
      <c r="FI226">
        <v>0</v>
      </c>
      <c r="FJ226">
        <v>1906</v>
      </c>
    </row>
    <row r="227" spans="1:166" x14ac:dyDescent="0.3">
      <c r="A227" t="s">
        <v>857</v>
      </c>
      <c r="B227" t="s">
        <v>858</v>
      </c>
      <c r="E227" t="s">
        <v>479</v>
      </c>
      <c r="F227">
        <v>9.0819989999999997</v>
      </c>
      <c r="G227">
        <v>8.6752769999999995</v>
      </c>
      <c r="H227" t="s">
        <v>166</v>
      </c>
      <c r="I227">
        <v>470</v>
      </c>
      <c r="J227" t="s">
        <v>166</v>
      </c>
      <c r="K227">
        <v>470</v>
      </c>
      <c r="L227" t="s">
        <v>167</v>
      </c>
      <c r="M227">
        <v>469</v>
      </c>
      <c r="N227" t="s">
        <v>167</v>
      </c>
      <c r="O227" t="s">
        <v>225</v>
      </c>
      <c r="P227" t="s">
        <v>859</v>
      </c>
      <c r="Q227">
        <v>0</v>
      </c>
      <c r="R227">
        <v>6.0437199999999998E-3</v>
      </c>
      <c r="V227" t="s">
        <v>482</v>
      </c>
      <c r="W227" t="s">
        <v>483</v>
      </c>
      <c r="Y227" t="s">
        <v>197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1828</v>
      </c>
    </row>
    <row r="228" spans="1:166" x14ac:dyDescent="0.3">
      <c r="A228" t="s">
        <v>860</v>
      </c>
      <c r="B228" t="s">
        <v>861</v>
      </c>
      <c r="E228" t="s">
        <v>479</v>
      </c>
      <c r="F228">
        <v>9.0819989999999997</v>
      </c>
      <c r="G228">
        <v>8.6752769999999995</v>
      </c>
      <c r="H228" t="s">
        <v>166</v>
      </c>
      <c r="I228">
        <v>470</v>
      </c>
      <c r="J228" t="s">
        <v>166</v>
      </c>
      <c r="K228">
        <v>470</v>
      </c>
      <c r="L228" t="s">
        <v>167</v>
      </c>
      <c r="M228">
        <v>469</v>
      </c>
      <c r="N228" t="s">
        <v>167</v>
      </c>
      <c r="O228" t="s">
        <v>225</v>
      </c>
      <c r="P228" t="s">
        <v>859</v>
      </c>
      <c r="Q228">
        <v>0</v>
      </c>
      <c r="R228">
        <v>6.0437199999999998E-3</v>
      </c>
      <c r="V228" t="s">
        <v>482</v>
      </c>
      <c r="W228" t="s">
        <v>483</v>
      </c>
      <c r="Y228" t="s">
        <v>197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1828</v>
      </c>
    </row>
    <row r="229" spans="1:166" x14ac:dyDescent="0.3">
      <c r="A229" t="s">
        <v>862</v>
      </c>
      <c r="B229" t="s">
        <v>863</v>
      </c>
      <c r="C229" t="s">
        <v>1400</v>
      </c>
      <c r="D229">
        <v>2021</v>
      </c>
      <c r="E229" t="s">
        <v>864</v>
      </c>
      <c r="F229">
        <v>8.0300284000000008</v>
      </c>
      <c r="G229">
        <v>-1.0800270999999999</v>
      </c>
      <c r="H229" t="s">
        <v>166</v>
      </c>
      <c r="I229">
        <v>470</v>
      </c>
      <c r="J229" t="s">
        <v>166</v>
      </c>
      <c r="K229">
        <v>470</v>
      </c>
      <c r="L229" t="s">
        <v>167</v>
      </c>
      <c r="M229">
        <v>469</v>
      </c>
      <c r="N229" t="s">
        <v>167</v>
      </c>
      <c r="O229" t="s">
        <v>865</v>
      </c>
      <c r="P229" t="s">
        <v>866</v>
      </c>
      <c r="Q229">
        <v>0</v>
      </c>
      <c r="R229">
        <v>7.6329900000000001E-3</v>
      </c>
      <c r="S229" t="s">
        <v>867</v>
      </c>
      <c r="T229" t="s">
        <v>868</v>
      </c>
      <c r="V229" t="s">
        <v>1349</v>
      </c>
      <c r="W229" t="s">
        <v>1350</v>
      </c>
      <c r="Y229" t="s">
        <v>869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</v>
      </c>
      <c r="EY229">
        <v>1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1</v>
      </c>
      <c r="FF229">
        <v>0</v>
      </c>
      <c r="FG229">
        <v>0</v>
      </c>
      <c r="FH229">
        <v>0</v>
      </c>
      <c r="FI229">
        <v>0</v>
      </c>
      <c r="FJ229">
        <v>1136</v>
      </c>
    </row>
    <row r="230" spans="1:166" x14ac:dyDescent="0.3">
      <c r="A230" t="s">
        <v>870</v>
      </c>
      <c r="B230" t="s">
        <v>871</v>
      </c>
      <c r="C230" t="s">
        <v>1400</v>
      </c>
      <c r="D230">
        <v>2021</v>
      </c>
      <c r="E230" t="s">
        <v>864</v>
      </c>
      <c r="F230">
        <v>8.0300284000000008</v>
      </c>
      <c r="G230">
        <v>-1.0800270999999999</v>
      </c>
      <c r="H230" t="s">
        <v>166</v>
      </c>
      <c r="I230">
        <v>470</v>
      </c>
      <c r="J230" t="s">
        <v>166</v>
      </c>
      <c r="K230">
        <v>470</v>
      </c>
      <c r="L230" t="s">
        <v>167</v>
      </c>
      <c r="M230">
        <v>469</v>
      </c>
      <c r="N230" t="s">
        <v>167</v>
      </c>
      <c r="O230" t="s">
        <v>325</v>
      </c>
      <c r="P230" t="s">
        <v>872</v>
      </c>
      <c r="Q230">
        <v>0</v>
      </c>
      <c r="R230">
        <v>5.7081900000000001E-3</v>
      </c>
      <c r="S230" t="s">
        <v>867</v>
      </c>
      <c r="T230" t="s">
        <v>868</v>
      </c>
      <c r="V230" t="s">
        <v>1349</v>
      </c>
      <c r="W230" t="s">
        <v>1350</v>
      </c>
      <c r="Y230" t="s">
        <v>869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1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1</v>
      </c>
      <c r="EY230">
        <v>1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1</v>
      </c>
      <c r="FF230">
        <v>0</v>
      </c>
      <c r="FG230">
        <v>1</v>
      </c>
      <c r="FH230">
        <v>0</v>
      </c>
      <c r="FI230">
        <v>0</v>
      </c>
      <c r="FJ230">
        <v>109</v>
      </c>
    </row>
    <row r="231" spans="1:166" x14ac:dyDescent="0.3">
      <c r="A231" t="s">
        <v>873</v>
      </c>
      <c r="B231" t="s">
        <v>874</v>
      </c>
      <c r="C231" t="s">
        <v>1400</v>
      </c>
      <c r="D231">
        <v>2021</v>
      </c>
      <c r="E231" t="s">
        <v>864</v>
      </c>
      <c r="F231">
        <v>8.0300284000000008</v>
      </c>
      <c r="G231">
        <v>-1.0800270999999999</v>
      </c>
      <c r="H231" t="s">
        <v>166</v>
      </c>
      <c r="I231">
        <v>470</v>
      </c>
      <c r="J231" t="s">
        <v>166</v>
      </c>
      <c r="K231">
        <v>470</v>
      </c>
      <c r="L231" t="s">
        <v>167</v>
      </c>
      <c r="M231">
        <v>469</v>
      </c>
      <c r="N231" t="s">
        <v>167</v>
      </c>
      <c r="O231" t="s">
        <v>325</v>
      </c>
      <c r="P231" t="s">
        <v>872</v>
      </c>
      <c r="Q231">
        <v>0</v>
      </c>
      <c r="R231">
        <v>5.7081900000000001E-3</v>
      </c>
      <c r="S231" t="s">
        <v>867</v>
      </c>
      <c r="T231" t="s">
        <v>868</v>
      </c>
      <c r="V231" t="s">
        <v>1349</v>
      </c>
      <c r="W231" t="s">
        <v>1350</v>
      </c>
      <c r="Y231" t="s">
        <v>869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1</v>
      </c>
      <c r="EY231">
        <v>1</v>
      </c>
      <c r="EZ231">
        <v>0</v>
      </c>
      <c r="FA231">
        <v>0</v>
      </c>
      <c r="FB231">
        <v>0</v>
      </c>
      <c r="FC231">
        <v>0</v>
      </c>
      <c r="FD231">
        <v>1</v>
      </c>
      <c r="FE231">
        <v>1</v>
      </c>
      <c r="FF231">
        <v>0</v>
      </c>
      <c r="FG231">
        <v>1</v>
      </c>
      <c r="FH231">
        <v>0</v>
      </c>
      <c r="FI231">
        <v>0</v>
      </c>
      <c r="FJ231">
        <v>109</v>
      </c>
    </row>
    <row r="232" spans="1:166" x14ac:dyDescent="0.3">
      <c r="A232" t="s">
        <v>875</v>
      </c>
      <c r="B232" t="s">
        <v>876</v>
      </c>
      <c r="C232" t="s">
        <v>1400</v>
      </c>
      <c r="D232">
        <v>2021</v>
      </c>
      <c r="E232" t="s">
        <v>864</v>
      </c>
      <c r="F232">
        <v>8.0300284000000008</v>
      </c>
      <c r="G232">
        <v>-1.0800270999999999</v>
      </c>
      <c r="H232" t="s">
        <v>166</v>
      </c>
      <c r="I232">
        <v>470</v>
      </c>
      <c r="J232" t="s">
        <v>166</v>
      </c>
      <c r="K232">
        <v>470</v>
      </c>
      <c r="L232" t="s">
        <v>167</v>
      </c>
      <c r="M232">
        <v>469</v>
      </c>
      <c r="N232" t="s">
        <v>167</v>
      </c>
      <c r="O232" t="s">
        <v>325</v>
      </c>
      <c r="P232" t="s">
        <v>877</v>
      </c>
      <c r="Q232">
        <v>0</v>
      </c>
      <c r="R232">
        <v>5.7414700000000003E-3</v>
      </c>
      <c r="S232" t="s">
        <v>867</v>
      </c>
      <c r="T232" t="s">
        <v>868</v>
      </c>
      <c r="V232" t="s">
        <v>1349</v>
      </c>
      <c r="W232" t="s">
        <v>1350</v>
      </c>
      <c r="Y232" t="s">
        <v>869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1</v>
      </c>
      <c r="FE232">
        <v>1</v>
      </c>
      <c r="FF232">
        <v>0</v>
      </c>
      <c r="FG232">
        <v>1</v>
      </c>
      <c r="FH232">
        <v>0</v>
      </c>
      <c r="FI232">
        <v>0</v>
      </c>
      <c r="FJ232">
        <v>109</v>
      </c>
    </row>
    <row r="233" spans="1:166" x14ac:dyDescent="0.3">
      <c r="A233" t="s">
        <v>878</v>
      </c>
      <c r="B233" t="s">
        <v>879</v>
      </c>
      <c r="C233" t="s">
        <v>1400</v>
      </c>
      <c r="D233">
        <v>2021</v>
      </c>
      <c r="E233" t="s">
        <v>864</v>
      </c>
      <c r="F233">
        <v>8.0300284000000008</v>
      </c>
      <c r="G233">
        <v>-1.0800270999999999</v>
      </c>
      <c r="H233" t="s">
        <v>166</v>
      </c>
      <c r="I233">
        <v>470</v>
      </c>
      <c r="J233" t="s">
        <v>166</v>
      </c>
      <c r="K233">
        <v>470</v>
      </c>
      <c r="L233" t="s">
        <v>167</v>
      </c>
      <c r="M233">
        <v>469</v>
      </c>
      <c r="N233" t="s">
        <v>167</v>
      </c>
      <c r="O233" t="s">
        <v>880</v>
      </c>
      <c r="P233" t="s">
        <v>881</v>
      </c>
      <c r="Q233">
        <v>0</v>
      </c>
      <c r="R233">
        <v>7.1240599999999998E-3</v>
      </c>
      <c r="S233" t="s">
        <v>867</v>
      </c>
      <c r="T233" t="s">
        <v>868</v>
      </c>
      <c r="V233" t="s">
        <v>1349</v>
      </c>
      <c r="W233" t="s">
        <v>1350</v>
      </c>
      <c r="Y233" t="s">
        <v>869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1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</v>
      </c>
      <c r="EQ233">
        <v>0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1</v>
      </c>
      <c r="EY233">
        <v>1</v>
      </c>
      <c r="EZ233">
        <v>0</v>
      </c>
      <c r="FA233">
        <v>1</v>
      </c>
      <c r="FB233">
        <v>0</v>
      </c>
      <c r="FC233">
        <v>1</v>
      </c>
      <c r="FD233">
        <v>1</v>
      </c>
      <c r="FE233">
        <v>0</v>
      </c>
      <c r="FF233">
        <v>0</v>
      </c>
      <c r="FG233">
        <v>0</v>
      </c>
      <c r="FH233">
        <v>0</v>
      </c>
      <c r="FI233">
        <v>1</v>
      </c>
      <c r="FJ233">
        <v>132</v>
      </c>
    </row>
    <row r="234" spans="1:166" x14ac:dyDescent="0.3">
      <c r="A234" t="s">
        <v>882</v>
      </c>
      <c r="B234" t="s">
        <v>883</v>
      </c>
      <c r="C234" t="s">
        <v>1405</v>
      </c>
      <c r="D234">
        <v>2016</v>
      </c>
      <c r="E234" t="s">
        <v>884</v>
      </c>
      <c r="F234">
        <v>8.0300284000000008</v>
      </c>
      <c r="G234">
        <v>-1.0800270999999999</v>
      </c>
      <c r="H234" t="s">
        <v>166</v>
      </c>
      <c r="I234">
        <v>470</v>
      </c>
      <c r="J234" t="s">
        <v>166</v>
      </c>
      <c r="K234">
        <v>470</v>
      </c>
      <c r="L234" t="s">
        <v>167</v>
      </c>
      <c r="M234">
        <v>469</v>
      </c>
      <c r="N234" t="s">
        <v>167</v>
      </c>
      <c r="O234" t="s">
        <v>885</v>
      </c>
      <c r="P234" t="s">
        <v>886</v>
      </c>
      <c r="Q234">
        <v>0</v>
      </c>
      <c r="R234">
        <v>3.7263000000000001E-3</v>
      </c>
      <c r="S234" t="s">
        <v>887</v>
      </c>
      <c r="T234" t="s">
        <v>444</v>
      </c>
      <c r="V234" t="s">
        <v>1351</v>
      </c>
      <c r="W234" t="s">
        <v>1352</v>
      </c>
      <c r="Y234" t="s">
        <v>869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10</v>
      </c>
    </row>
    <row r="235" spans="1:166" x14ac:dyDescent="0.3">
      <c r="A235" t="s">
        <v>888</v>
      </c>
      <c r="B235" t="s">
        <v>889</v>
      </c>
      <c r="C235" t="s">
        <v>1403</v>
      </c>
      <c r="D235">
        <v>2019</v>
      </c>
      <c r="E235" t="s">
        <v>890</v>
      </c>
      <c r="F235">
        <v>6.38</v>
      </c>
      <c r="G235">
        <v>2.4500000000000002</v>
      </c>
      <c r="H235" t="s">
        <v>166</v>
      </c>
      <c r="I235">
        <v>470</v>
      </c>
      <c r="J235" t="s">
        <v>166</v>
      </c>
      <c r="K235">
        <v>470</v>
      </c>
      <c r="L235" t="s">
        <v>167</v>
      </c>
      <c r="M235">
        <v>469</v>
      </c>
      <c r="N235" t="s">
        <v>167</v>
      </c>
      <c r="O235" t="s">
        <v>891</v>
      </c>
      <c r="P235" t="s">
        <v>487</v>
      </c>
      <c r="Q235">
        <v>0</v>
      </c>
      <c r="R235">
        <v>4.64278E-3</v>
      </c>
      <c r="S235" t="s">
        <v>1441</v>
      </c>
      <c r="T235" t="s">
        <v>444</v>
      </c>
      <c r="V235" t="s">
        <v>892</v>
      </c>
      <c r="W235" t="s">
        <v>893</v>
      </c>
      <c r="Y235" t="s">
        <v>894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1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1</v>
      </c>
      <c r="FF235">
        <v>0</v>
      </c>
      <c r="FG235">
        <v>0</v>
      </c>
      <c r="FH235">
        <v>0</v>
      </c>
      <c r="FI235">
        <v>0</v>
      </c>
      <c r="FJ235">
        <v>388</v>
      </c>
    </row>
    <row r="236" spans="1:166" x14ac:dyDescent="0.3">
      <c r="A236" t="s">
        <v>895</v>
      </c>
      <c r="B236" t="s">
        <v>896</v>
      </c>
      <c r="C236" t="s">
        <v>1400</v>
      </c>
      <c r="D236">
        <v>2012</v>
      </c>
      <c r="E236" t="s">
        <v>897</v>
      </c>
      <c r="F236">
        <v>-29</v>
      </c>
      <c r="G236">
        <v>24</v>
      </c>
      <c r="H236" t="s">
        <v>166</v>
      </c>
      <c r="I236">
        <v>470</v>
      </c>
      <c r="J236" t="s">
        <v>166</v>
      </c>
      <c r="K236">
        <v>470</v>
      </c>
      <c r="L236" t="s">
        <v>167</v>
      </c>
      <c r="M236">
        <v>469</v>
      </c>
      <c r="N236" t="s">
        <v>167</v>
      </c>
      <c r="O236" t="s">
        <v>898</v>
      </c>
      <c r="P236" t="s">
        <v>899</v>
      </c>
      <c r="Q236">
        <v>0</v>
      </c>
      <c r="R236" s="1" t="s">
        <v>900</v>
      </c>
      <c r="T236" t="s">
        <v>444</v>
      </c>
      <c r="V236" t="s">
        <v>1353</v>
      </c>
      <c r="W236" t="s">
        <v>1354</v>
      </c>
      <c r="Y236" t="s">
        <v>448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1</v>
      </c>
      <c r="FD236">
        <v>1</v>
      </c>
      <c r="FE236">
        <v>0</v>
      </c>
      <c r="FF236">
        <v>0</v>
      </c>
      <c r="FG236">
        <v>1</v>
      </c>
      <c r="FH236">
        <v>0</v>
      </c>
      <c r="FI236">
        <v>0</v>
      </c>
      <c r="FJ236">
        <v>2</v>
      </c>
    </row>
    <row r="237" spans="1:166" x14ac:dyDescent="0.3">
      <c r="A237" t="s">
        <v>901</v>
      </c>
      <c r="B237" t="s">
        <v>902</v>
      </c>
      <c r="C237" t="s">
        <v>1400</v>
      </c>
      <c r="D237">
        <v>2014</v>
      </c>
      <c r="E237" t="s">
        <v>897</v>
      </c>
      <c r="F237">
        <v>-29</v>
      </c>
      <c r="G237">
        <v>24</v>
      </c>
      <c r="H237" t="s">
        <v>166</v>
      </c>
      <c r="I237">
        <v>470</v>
      </c>
      <c r="J237" t="s">
        <v>166</v>
      </c>
      <c r="K237">
        <v>470</v>
      </c>
      <c r="L237" t="s">
        <v>167</v>
      </c>
      <c r="M237">
        <v>469</v>
      </c>
      <c r="N237" t="s">
        <v>167</v>
      </c>
      <c r="O237" t="s">
        <v>903</v>
      </c>
      <c r="P237" t="s">
        <v>904</v>
      </c>
      <c r="Q237">
        <v>0</v>
      </c>
      <c r="R237">
        <v>1.7534899999999999E-2</v>
      </c>
      <c r="T237" t="s">
        <v>444</v>
      </c>
      <c r="V237" t="s">
        <v>1355</v>
      </c>
      <c r="W237" t="s">
        <v>1354</v>
      </c>
      <c r="Y237" t="s">
        <v>448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243</v>
      </c>
    </row>
    <row r="238" spans="1:166" x14ac:dyDescent="0.3">
      <c r="A238" t="s">
        <v>905</v>
      </c>
      <c r="B238" t="s">
        <v>906</v>
      </c>
      <c r="C238" t="s">
        <v>1400</v>
      </c>
      <c r="D238">
        <v>2019</v>
      </c>
      <c r="E238" t="s">
        <v>907</v>
      </c>
      <c r="F238">
        <v>32.8872</v>
      </c>
      <c r="G238">
        <v>13.1913</v>
      </c>
      <c r="H238" t="s">
        <v>166</v>
      </c>
      <c r="I238">
        <v>470</v>
      </c>
      <c r="J238" t="s">
        <v>166</v>
      </c>
      <c r="K238">
        <v>470</v>
      </c>
      <c r="L238" t="s">
        <v>167</v>
      </c>
      <c r="M238">
        <v>469</v>
      </c>
      <c r="N238" t="s">
        <v>167</v>
      </c>
      <c r="O238" t="s">
        <v>633</v>
      </c>
      <c r="P238" t="s">
        <v>169</v>
      </c>
      <c r="Q238">
        <v>0</v>
      </c>
      <c r="R238">
        <v>9.0612399999999904E-4</v>
      </c>
      <c r="S238" t="s">
        <v>908</v>
      </c>
      <c r="T238" t="s">
        <v>444</v>
      </c>
      <c r="U238" t="s">
        <v>1364</v>
      </c>
      <c r="V238" t="s">
        <v>1365</v>
      </c>
      <c r="W238" t="s">
        <v>1366</v>
      </c>
      <c r="X238" t="s">
        <v>909</v>
      </c>
      <c r="Y238" t="s">
        <v>622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1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25</v>
      </c>
    </row>
    <row r="239" spans="1:166" x14ac:dyDescent="0.3">
      <c r="A239" t="s">
        <v>910</v>
      </c>
      <c r="B239" t="s">
        <v>911</v>
      </c>
      <c r="C239" t="s">
        <v>1400</v>
      </c>
      <c r="D239">
        <v>2019</v>
      </c>
      <c r="E239" t="s">
        <v>907</v>
      </c>
      <c r="F239">
        <v>32.8872</v>
      </c>
      <c r="G239">
        <v>13.1913</v>
      </c>
      <c r="H239" t="s">
        <v>166</v>
      </c>
      <c r="I239">
        <v>470</v>
      </c>
      <c r="J239" t="s">
        <v>166</v>
      </c>
      <c r="K239">
        <v>470</v>
      </c>
      <c r="L239" t="s">
        <v>167</v>
      </c>
      <c r="M239">
        <v>469</v>
      </c>
      <c r="N239" t="s">
        <v>167</v>
      </c>
      <c r="O239" t="s">
        <v>621</v>
      </c>
      <c r="P239" t="s">
        <v>912</v>
      </c>
      <c r="Q239">
        <v>0</v>
      </c>
      <c r="R239">
        <v>5.8416700000000002E-3</v>
      </c>
      <c r="S239" t="s">
        <v>913</v>
      </c>
      <c r="T239" t="s">
        <v>444</v>
      </c>
      <c r="U239" t="s">
        <v>1364</v>
      </c>
      <c r="V239" t="s">
        <v>1365</v>
      </c>
      <c r="W239" t="s">
        <v>1366</v>
      </c>
      <c r="X239" t="s">
        <v>909</v>
      </c>
      <c r="Y239" t="s">
        <v>622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0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602</v>
      </c>
    </row>
    <row r="240" spans="1:166" x14ac:dyDescent="0.3">
      <c r="A240" t="s">
        <v>914</v>
      </c>
      <c r="B240" t="s">
        <v>915</v>
      </c>
      <c r="C240" t="s">
        <v>1400</v>
      </c>
      <c r="D240">
        <v>2019</v>
      </c>
      <c r="E240" t="s">
        <v>907</v>
      </c>
      <c r="F240">
        <v>32.8872</v>
      </c>
      <c r="G240">
        <v>13.1913</v>
      </c>
      <c r="H240" t="s">
        <v>166</v>
      </c>
      <c r="I240">
        <v>470</v>
      </c>
      <c r="J240" t="s">
        <v>166</v>
      </c>
      <c r="K240">
        <v>470</v>
      </c>
      <c r="L240" t="s">
        <v>167</v>
      </c>
      <c r="M240">
        <v>469</v>
      </c>
      <c r="N240" t="s">
        <v>167</v>
      </c>
      <c r="O240" t="s">
        <v>651</v>
      </c>
      <c r="P240" t="s">
        <v>330</v>
      </c>
      <c r="Q240">
        <v>0</v>
      </c>
      <c r="R240">
        <v>9.3133399999999905E-4</v>
      </c>
      <c r="S240" t="s">
        <v>1298</v>
      </c>
      <c r="T240" t="s">
        <v>444</v>
      </c>
      <c r="U240" t="s">
        <v>1363</v>
      </c>
      <c r="V240" t="s">
        <v>1365</v>
      </c>
      <c r="W240" t="s">
        <v>1366</v>
      </c>
      <c r="X240" t="s">
        <v>909</v>
      </c>
      <c r="Y240" t="s">
        <v>622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0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2</v>
      </c>
    </row>
    <row r="241" spans="1:166" x14ac:dyDescent="0.3">
      <c r="A241" t="s">
        <v>916</v>
      </c>
      <c r="B241" t="s">
        <v>917</v>
      </c>
      <c r="C241" t="s">
        <v>1400</v>
      </c>
      <c r="D241">
        <v>2019</v>
      </c>
      <c r="E241" t="s">
        <v>907</v>
      </c>
      <c r="F241">
        <v>32.8872</v>
      </c>
      <c r="G241">
        <v>13.1913</v>
      </c>
      <c r="H241" t="s">
        <v>166</v>
      </c>
      <c r="I241">
        <v>470</v>
      </c>
      <c r="J241" t="s">
        <v>166</v>
      </c>
      <c r="K241">
        <v>470</v>
      </c>
      <c r="L241" t="s">
        <v>167</v>
      </c>
      <c r="M241">
        <v>469</v>
      </c>
      <c r="N241" t="s">
        <v>167</v>
      </c>
      <c r="O241" t="s">
        <v>677</v>
      </c>
      <c r="P241" t="s">
        <v>918</v>
      </c>
      <c r="Q241">
        <v>0</v>
      </c>
      <c r="R241">
        <v>1.6007899999999999E-3</v>
      </c>
      <c r="S241" t="s">
        <v>1300</v>
      </c>
      <c r="T241" t="s">
        <v>444</v>
      </c>
      <c r="U241" t="s">
        <v>1364</v>
      </c>
      <c r="V241" t="s">
        <v>1365</v>
      </c>
      <c r="W241" t="s">
        <v>1366</v>
      </c>
      <c r="X241" t="s">
        <v>909</v>
      </c>
      <c r="Y241" t="s">
        <v>622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1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2</v>
      </c>
    </row>
    <row r="242" spans="1:166" x14ac:dyDescent="0.3">
      <c r="A242" t="s">
        <v>919</v>
      </c>
      <c r="B242" t="s">
        <v>920</v>
      </c>
      <c r="C242" t="s">
        <v>1401</v>
      </c>
      <c r="D242" s="15">
        <v>2017</v>
      </c>
      <c r="E242" t="s">
        <v>921</v>
      </c>
      <c r="F242">
        <v>30.022729999999999</v>
      </c>
      <c r="G242">
        <v>31.23789</v>
      </c>
      <c r="H242" t="s">
        <v>166</v>
      </c>
      <c r="I242">
        <v>470</v>
      </c>
      <c r="J242" t="s">
        <v>166</v>
      </c>
      <c r="K242">
        <v>470</v>
      </c>
      <c r="L242" t="s">
        <v>167</v>
      </c>
      <c r="M242">
        <v>469</v>
      </c>
      <c r="N242" t="s">
        <v>167</v>
      </c>
      <c r="O242" t="s">
        <v>922</v>
      </c>
      <c r="P242" t="s">
        <v>406</v>
      </c>
      <c r="Q242">
        <v>0</v>
      </c>
      <c r="R242">
        <v>9.8187100000000005E-4</v>
      </c>
      <c r="S242" t="s">
        <v>923</v>
      </c>
      <c r="T242" t="s">
        <v>444</v>
      </c>
      <c r="U242" t="s">
        <v>1390</v>
      </c>
      <c r="V242" t="s">
        <v>1367</v>
      </c>
      <c r="W242" t="s">
        <v>1368</v>
      </c>
      <c r="X242" t="s">
        <v>924</v>
      </c>
      <c r="Y242" t="s">
        <v>476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1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1</v>
      </c>
      <c r="EY242">
        <v>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1</v>
      </c>
      <c r="FH242">
        <v>0</v>
      </c>
      <c r="FI242">
        <v>0</v>
      </c>
      <c r="FJ242">
        <v>2</v>
      </c>
    </row>
    <row r="243" spans="1:166" x14ac:dyDescent="0.3">
      <c r="A243" t="s">
        <v>925</v>
      </c>
      <c r="B243" t="s">
        <v>926</v>
      </c>
      <c r="C243" t="s">
        <v>1401</v>
      </c>
      <c r="D243" s="15">
        <v>2017</v>
      </c>
      <c r="E243" t="s">
        <v>921</v>
      </c>
      <c r="F243">
        <v>30.022729999999999</v>
      </c>
      <c r="G243">
        <v>31.23789</v>
      </c>
      <c r="H243" t="s">
        <v>166</v>
      </c>
      <c r="I243">
        <v>470</v>
      </c>
      <c r="J243" t="s">
        <v>166</v>
      </c>
      <c r="K243">
        <v>470</v>
      </c>
      <c r="L243" t="s">
        <v>167</v>
      </c>
      <c r="M243">
        <v>469</v>
      </c>
      <c r="N243" t="s">
        <v>167</v>
      </c>
      <c r="O243" t="s">
        <v>922</v>
      </c>
      <c r="P243" t="s">
        <v>802</v>
      </c>
      <c r="Q243">
        <v>0</v>
      </c>
      <c r="R243">
        <v>1.1599900000000001E-3</v>
      </c>
      <c r="S243" t="s">
        <v>1298</v>
      </c>
      <c r="T243" t="s">
        <v>444</v>
      </c>
      <c r="U243" t="s">
        <v>1390</v>
      </c>
      <c r="V243" t="s">
        <v>1369</v>
      </c>
      <c r="W243" t="s">
        <v>1368</v>
      </c>
      <c r="X243" t="s">
        <v>924</v>
      </c>
      <c r="Y243" t="s">
        <v>476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1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1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2</v>
      </c>
    </row>
    <row r="244" spans="1:166" x14ac:dyDescent="0.3">
      <c r="A244" t="s">
        <v>927</v>
      </c>
      <c r="B244" t="s">
        <v>928</v>
      </c>
      <c r="C244" t="s">
        <v>1410</v>
      </c>
      <c r="D244" s="15">
        <v>2017</v>
      </c>
      <c r="E244" t="s">
        <v>921</v>
      </c>
      <c r="F244">
        <v>30.022729999999999</v>
      </c>
      <c r="G244">
        <v>31.23789</v>
      </c>
      <c r="H244" t="s">
        <v>166</v>
      </c>
      <c r="I244">
        <v>470</v>
      </c>
      <c r="J244" t="s">
        <v>166</v>
      </c>
      <c r="K244">
        <v>470</v>
      </c>
      <c r="L244" t="s">
        <v>167</v>
      </c>
      <c r="M244">
        <v>469</v>
      </c>
      <c r="N244" t="s">
        <v>167</v>
      </c>
      <c r="O244" t="s">
        <v>289</v>
      </c>
      <c r="P244" t="s">
        <v>169</v>
      </c>
      <c r="Q244">
        <v>0</v>
      </c>
      <c r="R244">
        <v>9.0612399999999904E-4</v>
      </c>
      <c r="S244" t="s">
        <v>1300</v>
      </c>
      <c r="T244" t="s">
        <v>444</v>
      </c>
      <c r="U244" t="s">
        <v>1390</v>
      </c>
      <c r="V244" t="s">
        <v>1370</v>
      </c>
      <c r="W244" t="s">
        <v>1368</v>
      </c>
      <c r="X244" t="s">
        <v>924</v>
      </c>
      <c r="Y244" t="s">
        <v>476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0</v>
      </c>
      <c r="FF244">
        <v>0</v>
      </c>
      <c r="FG244">
        <v>1</v>
      </c>
      <c r="FH244">
        <v>0</v>
      </c>
      <c r="FI244">
        <v>0</v>
      </c>
      <c r="FJ244">
        <v>1</v>
      </c>
    </row>
    <row r="245" spans="1:166" x14ac:dyDescent="0.3">
      <c r="A245" t="s">
        <v>929</v>
      </c>
      <c r="B245" t="s">
        <v>930</v>
      </c>
      <c r="C245" t="s">
        <v>1400</v>
      </c>
      <c r="D245" s="15">
        <v>2017</v>
      </c>
      <c r="E245" t="s">
        <v>921</v>
      </c>
      <c r="F245">
        <v>30.022729999999999</v>
      </c>
      <c r="G245">
        <v>31.23789</v>
      </c>
      <c r="H245" t="s">
        <v>166</v>
      </c>
      <c r="I245">
        <v>470</v>
      </c>
      <c r="J245" t="s">
        <v>166</v>
      </c>
      <c r="K245">
        <v>470</v>
      </c>
      <c r="L245" t="s">
        <v>167</v>
      </c>
      <c r="M245">
        <v>469</v>
      </c>
      <c r="N245" t="s">
        <v>167</v>
      </c>
      <c r="O245" t="s">
        <v>931</v>
      </c>
      <c r="P245" t="s">
        <v>534</v>
      </c>
      <c r="Q245">
        <v>0</v>
      </c>
      <c r="R245">
        <v>8.0567300000000002E-4</v>
      </c>
      <c r="S245" t="s">
        <v>932</v>
      </c>
      <c r="T245" t="s">
        <v>444</v>
      </c>
      <c r="U245" t="s">
        <v>1390</v>
      </c>
      <c r="V245" t="s">
        <v>1371</v>
      </c>
      <c r="W245" t="s">
        <v>1368</v>
      </c>
      <c r="X245" t="s">
        <v>924</v>
      </c>
      <c r="Y245" t="s">
        <v>476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1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1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1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1</v>
      </c>
    </row>
    <row r="246" spans="1:166" x14ac:dyDescent="0.3">
      <c r="A246" t="s">
        <v>933</v>
      </c>
      <c r="B246" t="s">
        <v>934</v>
      </c>
      <c r="C246" t="s">
        <v>1406</v>
      </c>
      <c r="D246">
        <v>2018</v>
      </c>
      <c r="E246" t="s">
        <v>921</v>
      </c>
      <c r="F246">
        <v>30.022729999999999</v>
      </c>
      <c r="G246">
        <v>31.23789</v>
      </c>
      <c r="H246" t="s">
        <v>166</v>
      </c>
      <c r="I246">
        <v>470</v>
      </c>
      <c r="J246" t="s">
        <v>166</v>
      </c>
      <c r="K246">
        <v>470</v>
      </c>
      <c r="L246" t="s">
        <v>167</v>
      </c>
      <c r="M246">
        <v>469</v>
      </c>
      <c r="N246" t="s">
        <v>167</v>
      </c>
      <c r="O246" t="s">
        <v>935</v>
      </c>
      <c r="P246" t="s">
        <v>936</v>
      </c>
      <c r="Q246">
        <v>0</v>
      </c>
      <c r="R246">
        <v>1.1856E-3</v>
      </c>
      <c r="S246" t="s">
        <v>1298</v>
      </c>
      <c r="T246" t="s">
        <v>444</v>
      </c>
      <c r="U246" t="s">
        <v>1390</v>
      </c>
      <c r="V246" t="s">
        <v>1372</v>
      </c>
      <c r="W246" t="s">
        <v>1368</v>
      </c>
      <c r="X246" t="s">
        <v>924</v>
      </c>
      <c r="Y246" t="s">
        <v>476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1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1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1</v>
      </c>
      <c r="FH246">
        <v>0</v>
      </c>
      <c r="FI246">
        <v>0</v>
      </c>
      <c r="FJ246">
        <v>2</v>
      </c>
    </row>
    <row r="247" spans="1:166" x14ac:dyDescent="0.3">
      <c r="A247" t="s">
        <v>937</v>
      </c>
      <c r="B247" t="s">
        <v>938</v>
      </c>
      <c r="C247" t="s">
        <v>1402</v>
      </c>
      <c r="D247">
        <v>2018</v>
      </c>
      <c r="E247" t="s">
        <v>921</v>
      </c>
      <c r="F247">
        <v>30.022729999999999</v>
      </c>
      <c r="G247">
        <v>31.23789</v>
      </c>
      <c r="H247" t="s">
        <v>166</v>
      </c>
      <c r="I247">
        <v>470</v>
      </c>
      <c r="J247" t="s">
        <v>166</v>
      </c>
      <c r="K247">
        <v>470</v>
      </c>
      <c r="L247" t="s">
        <v>167</v>
      </c>
      <c r="M247">
        <v>469</v>
      </c>
      <c r="N247" t="s">
        <v>167</v>
      </c>
      <c r="O247" t="s">
        <v>289</v>
      </c>
      <c r="P247" t="s">
        <v>939</v>
      </c>
      <c r="Q247">
        <v>0</v>
      </c>
      <c r="R247">
        <v>1.2112399999999999E-3</v>
      </c>
      <c r="S247" t="s">
        <v>932</v>
      </c>
      <c r="T247" t="s">
        <v>444</v>
      </c>
      <c r="U247" t="s">
        <v>1390</v>
      </c>
      <c r="V247" t="s">
        <v>1373</v>
      </c>
      <c r="W247" t="s">
        <v>1368</v>
      </c>
      <c r="X247" t="s">
        <v>924</v>
      </c>
      <c r="Y247" t="s">
        <v>476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0</v>
      </c>
      <c r="FF247">
        <v>0</v>
      </c>
      <c r="FG247">
        <v>1</v>
      </c>
      <c r="FH247">
        <v>0</v>
      </c>
      <c r="FI247">
        <v>0</v>
      </c>
      <c r="FJ247">
        <v>1</v>
      </c>
    </row>
    <row r="248" spans="1:166" x14ac:dyDescent="0.3">
      <c r="A248" t="s">
        <v>940</v>
      </c>
      <c r="B248" t="s">
        <v>941</v>
      </c>
      <c r="C248" t="s">
        <v>1401</v>
      </c>
      <c r="D248">
        <v>2018</v>
      </c>
      <c r="E248" t="s">
        <v>921</v>
      </c>
      <c r="F248">
        <v>30.022729999999999</v>
      </c>
      <c r="G248">
        <v>31.23789</v>
      </c>
      <c r="H248" t="s">
        <v>166</v>
      </c>
      <c r="I248">
        <v>470</v>
      </c>
      <c r="J248" t="s">
        <v>166</v>
      </c>
      <c r="K248">
        <v>470</v>
      </c>
      <c r="L248" t="s">
        <v>167</v>
      </c>
      <c r="M248">
        <v>469</v>
      </c>
      <c r="N248" t="s">
        <v>167</v>
      </c>
      <c r="O248" t="s">
        <v>183</v>
      </c>
      <c r="P248" t="s">
        <v>936</v>
      </c>
      <c r="Q248">
        <v>0</v>
      </c>
      <c r="R248">
        <v>1.1856E-3</v>
      </c>
      <c r="S248" t="s">
        <v>1298</v>
      </c>
      <c r="T248" t="s">
        <v>444</v>
      </c>
      <c r="U248" t="s">
        <v>1390</v>
      </c>
      <c r="V248" t="s">
        <v>1374</v>
      </c>
      <c r="W248" t="s">
        <v>1368</v>
      </c>
      <c r="X248" t="s">
        <v>924</v>
      </c>
      <c r="Y248" t="s">
        <v>476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0</v>
      </c>
      <c r="AO248">
        <v>0</v>
      </c>
      <c r="AP248">
        <v>1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1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1</v>
      </c>
      <c r="FB248">
        <v>1</v>
      </c>
      <c r="FC248">
        <v>1</v>
      </c>
      <c r="FD248">
        <v>1</v>
      </c>
      <c r="FE248">
        <v>0</v>
      </c>
      <c r="FF248">
        <v>0</v>
      </c>
      <c r="FG248">
        <v>1</v>
      </c>
      <c r="FH248">
        <v>0</v>
      </c>
      <c r="FI248">
        <v>0</v>
      </c>
      <c r="FJ248">
        <v>1</v>
      </c>
    </row>
    <row r="249" spans="1:166" x14ac:dyDescent="0.3">
      <c r="A249" t="s">
        <v>942</v>
      </c>
      <c r="B249" t="s">
        <v>943</v>
      </c>
      <c r="C249" t="s">
        <v>1404</v>
      </c>
      <c r="D249">
        <v>2018</v>
      </c>
      <c r="E249" t="s">
        <v>921</v>
      </c>
      <c r="F249">
        <v>30.022729999999999</v>
      </c>
      <c r="G249">
        <v>31.23789</v>
      </c>
      <c r="H249" t="s">
        <v>166</v>
      </c>
      <c r="I249">
        <v>470</v>
      </c>
      <c r="J249" t="s">
        <v>166</v>
      </c>
      <c r="K249">
        <v>470</v>
      </c>
      <c r="L249" t="s">
        <v>167</v>
      </c>
      <c r="M249">
        <v>469</v>
      </c>
      <c r="N249" t="s">
        <v>167</v>
      </c>
      <c r="O249" t="s">
        <v>183</v>
      </c>
      <c r="P249" t="s">
        <v>802</v>
      </c>
      <c r="Q249">
        <v>0</v>
      </c>
      <c r="R249">
        <v>1.1599900000000001E-3</v>
      </c>
      <c r="S249" t="s">
        <v>1298</v>
      </c>
      <c r="T249" t="s">
        <v>444</v>
      </c>
      <c r="U249" t="s">
        <v>1390</v>
      </c>
      <c r="V249" t="s">
        <v>1375</v>
      </c>
      <c r="W249" t="s">
        <v>1368</v>
      </c>
      <c r="X249" t="s">
        <v>924</v>
      </c>
      <c r="Y249" t="s">
        <v>476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0</v>
      </c>
      <c r="FF249">
        <v>0</v>
      </c>
      <c r="FG249">
        <v>1</v>
      </c>
      <c r="FH249">
        <v>0</v>
      </c>
      <c r="FI249">
        <v>0</v>
      </c>
      <c r="FJ249">
        <v>1</v>
      </c>
    </row>
    <row r="250" spans="1:166" x14ac:dyDescent="0.3">
      <c r="A250" t="s">
        <v>944</v>
      </c>
      <c r="B250" t="s">
        <v>945</v>
      </c>
      <c r="C250" t="s">
        <v>1407</v>
      </c>
      <c r="D250">
        <v>2018</v>
      </c>
      <c r="E250" t="s">
        <v>921</v>
      </c>
      <c r="F250">
        <v>30.022729999999999</v>
      </c>
      <c r="G250">
        <v>31.23789</v>
      </c>
      <c r="H250" t="s">
        <v>166</v>
      </c>
      <c r="I250">
        <v>470</v>
      </c>
      <c r="J250" t="s">
        <v>166</v>
      </c>
      <c r="K250">
        <v>470</v>
      </c>
      <c r="L250" t="s">
        <v>167</v>
      </c>
      <c r="M250">
        <v>469</v>
      </c>
      <c r="N250" t="s">
        <v>167</v>
      </c>
      <c r="O250" t="s">
        <v>289</v>
      </c>
      <c r="P250" t="s">
        <v>406</v>
      </c>
      <c r="Q250">
        <v>0</v>
      </c>
      <c r="R250">
        <v>9.8187100000000005E-4</v>
      </c>
      <c r="S250" t="s">
        <v>1298</v>
      </c>
      <c r="T250" t="s">
        <v>444</v>
      </c>
      <c r="U250" t="s">
        <v>1390</v>
      </c>
      <c r="V250" t="s">
        <v>1376</v>
      </c>
      <c r="W250" t="s">
        <v>1368</v>
      </c>
      <c r="X250" t="s">
        <v>924</v>
      </c>
      <c r="Y250" t="s">
        <v>476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0</v>
      </c>
      <c r="FF250">
        <v>0</v>
      </c>
      <c r="FG250">
        <v>1</v>
      </c>
      <c r="FH250">
        <v>0</v>
      </c>
      <c r="FI250">
        <v>0</v>
      </c>
      <c r="FJ250">
        <v>1</v>
      </c>
    </row>
    <row r="251" spans="1:166" x14ac:dyDescent="0.3">
      <c r="A251" t="s">
        <v>946</v>
      </c>
      <c r="B251" t="s">
        <v>947</v>
      </c>
      <c r="C251" t="s">
        <v>1405</v>
      </c>
      <c r="D251">
        <v>2018</v>
      </c>
      <c r="E251" t="s">
        <v>921</v>
      </c>
      <c r="F251">
        <v>30.022729999999999</v>
      </c>
      <c r="G251">
        <v>31.23789</v>
      </c>
      <c r="H251" t="s">
        <v>166</v>
      </c>
      <c r="I251">
        <v>470</v>
      </c>
      <c r="J251" t="s">
        <v>166</v>
      </c>
      <c r="K251">
        <v>470</v>
      </c>
      <c r="L251" t="s">
        <v>167</v>
      </c>
      <c r="M251">
        <v>469</v>
      </c>
      <c r="N251" t="s">
        <v>167</v>
      </c>
      <c r="O251" t="s">
        <v>948</v>
      </c>
      <c r="P251" t="s">
        <v>949</v>
      </c>
      <c r="Q251">
        <v>0</v>
      </c>
      <c r="R251">
        <v>2.40836E-3</v>
      </c>
      <c r="S251" t="s">
        <v>923</v>
      </c>
      <c r="T251" t="s">
        <v>444</v>
      </c>
      <c r="U251" t="s">
        <v>1390</v>
      </c>
      <c r="V251" t="s">
        <v>1377</v>
      </c>
      <c r="W251" t="s">
        <v>1368</v>
      </c>
      <c r="X251" t="s">
        <v>924</v>
      </c>
      <c r="Y251" t="s">
        <v>476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1</v>
      </c>
      <c r="AS251">
        <v>1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1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113</v>
      </c>
    </row>
    <row r="252" spans="1:166" x14ac:dyDescent="0.3">
      <c r="A252" t="s">
        <v>950</v>
      </c>
      <c r="B252" t="s">
        <v>951</v>
      </c>
      <c r="C252" t="s">
        <v>1405</v>
      </c>
      <c r="D252">
        <v>2018</v>
      </c>
      <c r="E252" t="s">
        <v>921</v>
      </c>
      <c r="F252">
        <v>30.022729999999999</v>
      </c>
      <c r="G252">
        <v>31.23789</v>
      </c>
      <c r="H252" t="s">
        <v>166</v>
      </c>
      <c r="I252">
        <v>470</v>
      </c>
      <c r="J252" t="s">
        <v>166</v>
      </c>
      <c r="K252">
        <v>470</v>
      </c>
      <c r="L252" t="s">
        <v>167</v>
      </c>
      <c r="M252">
        <v>469</v>
      </c>
      <c r="N252" t="s">
        <v>167</v>
      </c>
      <c r="O252" t="s">
        <v>698</v>
      </c>
      <c r="P252" t="s">
        <v>491</v>
      </c>
      <c r="Q252">
        <v>0</v>
      </c>
      <c r="R252">
        <v>6.5615399999999896E-4</v>
      </c>
      <c r="S252" t="s">
        <v>923</v>
      </c>
      <c r="T252" t="s">
        <v>444</v>
      </c>
      <c r="U252" t="s">
        <v>1390</v>
      </c>
      <c r="V252" t="s">
        <v>1378</v>
      </c>
      <c r="W252" t="s">
        <v>1368</v>
      </c>
      <c r="X252" t="s">
        <v>924</v>
      </c>
      <c r="Y252" t="s">
        <v>476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1</v>
      </c>
      <c r="AM252">
        <v>0</v>
      </c>
      <c r="AN252">
        <v>0</v>
      </c>
      <c r="AO252">
        <v>0</v>
      </c>
      <c r="AP252">
        <v>1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1</v>
      </c>
      <c r="EY252">
        <v>1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2</v>
      </c>
    </row>
    <row r="253" spans="1:166" x14ac:dyDescent="0.3">
      <c r="A253" t="s">
        <v>952</v>
      </c>
      <c r="B253" t="s">
        <v>953</v>
      </c>
      <c r="C253" t="s">
        <v>1405</v>
      </c>
      <c r="D253">
        <v>2018</v>
      </c>
      <c r="E253" t="s">
        <v>921</v>
      </c>
      <c r="F253">
        <v>30.022729999999999</v>
      </c>
      <c r="G253">
        <v>31.23789</v>
      </c>
      <c r="H253" t="s">
        <v>166</v>
      </c>
      <c r="I253">
        <v>470</v>
      </c>
      <c r="J253" t="s">
        <v>166</v>
      </c>
      <c r="K253">
        <v>470</v>
      </c>
      <c r="L253" t="s">
        <v>167</v>
      </c>
      <c r="M253">
        <v>469</v>
      </c>
      <c r="N253" t="s">
        <v>167</v>
      </c>
      <c r="O253" t="s">
        <v>948</v>
      </c>
      <c r="P253" t="s">
        <v>954</v>
      </c>
      <c r="Q253">
        <v>0</v>
      </c>
      <c r="R253">
        <v>2.4635999999999998E-3</v>
      </c>
      <c r="S253" t="s">
        <v>923</v>
      </c>
      <c r="T253" t="s">
        <v>444</v>
      </c>
      <c r="U253" t="s">
        <v>1390</v>
      </c>
      <c r="V253" t="s">
        <v>1379</v>
      </c>
      <c r="W253" t="s">
        <v>1368</v>
      </c>
      <c r="X253" t="s">
        <v>924</v>
      </c>
      <c r="Y253" t="s">
        <v>476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1</v>
      </c>
      <c r="FD253">
        <v>1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113</v>
      </c>
    </row>
    <row r="254" spans="1:166" x14ac:dyDescent="0.3">
      <c r="A254" t="s">
        <v>955</v>
      </c>
      <c r="B254" t="s">
        <v>956</v>
      </c>
      <c r="C254" t="s">
        <v>1406</v>
      </c>
      <c r="D254">
        <v>2018</v>
      </c>
      <c r="E254" t="s">
        <v>921</v>
      </c>
      <c r="F254">
        <v>30.022729999999999</v>
      </c>
      <c r="G254">
        <v>31.23789</v>
      </c>
      <c r="H254" t="s">
        <v>166</v>
      </c>
      <c r="I254">
        <v>470</v>
      </c>
      <c r="J254" t="s">
        <v>166</v>
      </c>
      <c r="K254">
        <v>470</v>
      </c>
      <c r="L254" t="s">
        <v>167</v>
      </c>
      <c r="M254">
        <v>469</v>
      </c>
      <c r="N254" t="s">
        <v>167</v>
      </c>
      <c r="O254" t="s">
        <v>957</v>
      </c>
      <c r="P254" t="s">
        <v>678</v>
      </c>
      <c r="Q254">
        <v>0</v>
      </c>
      <c r="R254">
        <v>1.5483199999999999E-3</v>
      </c>
      <c r="S254" t="s">
        <v>958</v>
      </c>
      <c r="T254" t="s">
        <v>444</v>
      </c>
      <c r="U254" t="s">
        <v>1390</v>
      </c>
      <c r="V254" t="s">
        <v>1380</v>
      </c>
      <c r="W254" t="s">
        <v>1368</v>
      </c>
      <c r="X254" t="s">
        <v>924</v>
      </c>
      <c r="Y254" t="s">
        <v>476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1</v>
      </c>
      <c r="EG254">
        <v>0</v>
      </c>
      <c r="EH254">
        <v>0</v>
      </c>
      <c r="EI254">
        <v>0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1</v>
      </c>
      <c r="EY254">
        <v>1</v>
      </c>
      <c r="EZ254">
        <v>0</v>
      </c>
      <c r="FA254">
        <v>1</v>
      </c>
      <c r="FB254">
        <v>0</v>
      </c>
      <c r="FC254">
        <v>1</v>
      </c>
      <c r="FD254">
        <v>0</v>
      </c>
      <c r="FE254">
        <v>0</v>
      </c>
      <c r="FF254">
        <v>0</v>
      </c>
      <c r="FG254">
        <v>1</v>
      </c>
      <c r="FH254">
        <v>0</v>
      </c>
      <c r="FI254">
        <v>0</v>
      </c>
      <c r="FJ254" t="s">
        <v>198</v>
      </c>
    </row>
    <row r="255" spans="1:166" x14ac:dyDescent="0.3">
      <c r="A255" t="s">
        <v>959</v>
      </c>
      <c r="B255" t="s">
        <v>960</v>
      </c>
      <c r="C255" t="s">
        <v>1402</v>
      </c>
      <c r="D255">
        <v>2018</v>
      </c>
      <c r="E255" t="s">
        <v>921</v>
      </c>
      <c r="F255">
        <v>30.022729999999999</v>
      </c>
      <c r="G255">
        <v>31.23789</v>
      </c>
      <c r="H255" t="s">
        <v>166</v>
      </c>
      <c r="I255">
        <v>470</v>
      </c>
      <c r="J255" t="s">
        <v>166</v>
      </c>
      <c r="K255">
        <v>470</v>
      </c>
      <c r="L255" t="s">
        <v>167</v>
      </c>
      <c r="M255">
        <v>469</v>
      </c>
      <c r="N255" t="s">
        <v>167</v>
      </c>
      <c r="O255" t="s">
        <v>183</v>
      </c>
      <c r="P255" t="s">
        <v>802</v>
      </c>
      <c r="Q255">
        <v>0</v>
      </c>
      <c r="R255">
        <v>1.1599900000000001E-3</v>
      </c>
      <c r="S255" t="s">
        <v>1298</v>
      </c>
      <c r="T255" t="s">
        <v>444</v>
      </c>
      <c r="U255" t="s">
        <v>1390</v>
      </c>
      <c r="V255" t="s">
        <v>1381</v>
      </c>
      <c r="W255" t="s">
        <v>1368</v>
      </c>
      <c r="X255" t="s">
        <v>924</v>
      </c>
      <c r="Y255" t="s">
        <v>476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0</v>
      </c>
      <c r="FF255">
        <v>0</v>
      </c>
      <c r="FG255">
        <v>1</v>
      </c>
      <c r="FH255">
        <v>0</v>
      </c>
      <c r="FI255">
        <v>0</v>
      </c>
      <c r="FJ255" t="s">
        <v>198</v>
      </c>
    </row>
    <row r="256" spans="1:166" x14ac:dyDescent="0.3">
      <c r="A256" t="s">
        <v>961</v>
      </c>
      <c r="B256" t="s">
        <v>962</v>
      </c>
      <c r="C256" t="s">
        <v>1402</v>
      </c>
      <c r="D256">
        <v>2018</v>
      </c>
      <c r="E256" t="s">
        <v>921</v>
      </c>
      <c r="F256">
        <v>30.022729999999999</v>
      </c>
      <c r="G256">
        <v>31.23789</v>
      </c>
      <c r="H256" t="s">
        <v>166</v>
      </c>
      <c r="I256">
        <v>470</v>
      </c>
      <c r="J256" t="s">
        <v>166</v>
      </c>
      <c r="K256">
        <v>470</v>
      </c>
      <c r="L256" t="s">
        <v>167</v>
      </c>
      <c r="M256">
        <v>469</v>
      </c>
      <c r="N256" t="s">
        <v>167</v>
      </c>
      <c r="O256" t="s">
        <v>963</v>
      </c>
      <c r="P256" t="s">
        <v>964</v>
      </c>
      <c r="Q256">
        <v>0</v>
      </c>
      <c r="R256">
        <v>2.5468000000000001E-3</v>
      </c>
      <c r="S256" t="s">
        <v>1298</v>
      </c>
      <c r="T256" t="s">
        <v>444</v>
      </c>
      <c r="U256" t="s">
        <v>1390</v>
      </c>
      <c r="V256" t="s">
        <v>1382</v>
      </c>
      <c r="W256" t="s">
        <v>1368</v>
      </c>
      <c r="X256" t="s">
        <v>924</v>
      </c>
      <c r="Y256" t="s">
        <v>476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1</v>
      </c>
      <c r="EI256">
        <v>0</v>
      </c>
      <c r="EJ256">
        <v>1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0</v>
      </c>
      <c r="FA256">
        <v>1</v>
      </c>
      <c r="FB256">
        <v>0</v>
      </c>
      <c r="FC256">
        <v>1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570</v>
      </c>
    </row>
    <row r="257" spans="1:166" x14ac:dyDescent="0.3">
      <c r="A257" t="s">
        <v>965</v>
      </c>
      <c r="B257" t="s">
        <v>966</v>
      </c>
      <c r="C257" t="s">
        <v>1402</v>
      </c>
      <c r="D257">
        <v>2018</v>
      </c>
      <c r="E257" t="s">
        <v>921</v>
      </c>
      <c r="F257">
        <v>30.022729999999999</v>
      </c>
      <c r="G257">
        <v>31.23789</v>
      </c>
      <c r="H257" t="s">
        <v>166</v>
      </c>
      <c r="I257">
        <v>470</v>
      </c>
      <c r="J257" t="s">
        <v>166</v>
      </c>
      <c r="K257">
        <v>470</v>
      </c>
      <c r="L257" t="s">
        <v>167</v>
      </c>
      <c r="M257">
        <v>469</v>
      </c>
      <c r="N257" t="s">
        <v>167</v>
      </c>
      <c r="O257" t="s">
        <v>289</v>
      </c>
      <c r="P257" t="s">
        <v>967</v>
      </c>
      <c r="Q257">
        <v>0</v>
      </c>
      <c r="R257">
        <v>7.8065800000000005E-4</v>
      </c>
      <c r="S257" t="s">
        <v>932</v>
      </c>
      <c r="T257" t="s">
        <v>444</v>
      </c>
      <c r="U257" t="s">
        <v>1390</v>
      </c>
      <c r="V257" t="s">
        <v>1383</v>
      </c>
      <c r="W257" t="s">
        <v>1368</v>
      </c>
      <c r="X257" t="s">
        <v>924</v>
      </c>
      <c r="Y257" t="s">
        <v>476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1</v>
      </c>
      <c r="EI257">
        <v>0</v>
      </c>
      <c r="EJ257">
        <v>0</v>
      </c>
      <c r="EK257">
        <v>0</v>
      </c>
      <c r="EL257">
        <v>0</v>
      </c>
      <c r="EM257">
        <v>1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1</v>
      </c>
      <c r="FB257">
        <v>1</v>
      </c>
      <c r="FC257">
        <v>1</v>
      </c>
      <c r="FD257">
        <v>1</v>
      </c>
      <c r="FE257">
        <v>0</v>
      </c>
      <c r="FF257">
        <v>0</v>
      </c>
      <c r="FG257">
        <v>1</v>
      </c>
      <c r="FH257">
        <v>0</v>
      </c>
      <c r="FI257">
        <v>0</v>
      </c>
      <c r="FJ257">
        <v>1</v>
      </c>
    </row>
    <row r="258" spans="1:166" x14ac:dyDescent="0.3">
      <c r="A258" t="s">
        <v>968</v>
      </c>
      <c r="B258" t="s">
        <v>969</v>
      </c>
      <c r="C258" t="s">
        <v>1404</v>
      </c>
      <c r="D258">
        <v>2018</v>
      </c>
      <c r="E258" t="s">
        <v>921</v>
      </c>
      <c r="F258">
        <v>30.022729999999999</v>
      </c>
      <c r="G258">
        <v>31.23789</v>
      </c>
      <c r="H258" t="s">
        <v>166</v>
      </c>
      <c r="I258">
        <v>470</v>
      </c>
      <c r="J258" t="s">
        <v>166</v>
      </c>
      <c r="K258">
        <v>470</v>
      </c>
      <c r="L258" t="s">
        <v>167</v>
      </c>
      <c r="M258">
        <v>469</v>
      </c>
      <c r="N258" t="s">
        <v>167</v>
      </c>
      <c r="O258" t="s">
        <v>183</v>
      </c>
      <c r="P258" t="s">
        <v>433</v>
      </c>
      <c r="Q258">
        <v>0</v>
      </c>
      <c r="R258">
        <v>1.23693E-3</v>
      </c>
      <c r="S258" t="s">
        <v>932</v>
      </c>
      <c r="T258" t="s">
        <v>444</v>
      </c>
      <c r="U258" t="s">
        <v>1390</v>
      </c>
      <c r="V258" t="s">
        <v>1384</v>
      </c>
      <c r="W258" t="s">
        <v>1368</v>
      </c>
      <c r="X258" t="s">
        <v>924</v>
      </c>
      <c r="Y258" t="s">
        <v>476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1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1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1</v>
      </c>
      <c r="FB258">
        <v>1</v>
      </c>
      <c r="FC258">
        <v>1</v>
      </c>
      <c r="FD258">
        <v>1</v>
      </c>
      <c r="FE258">
        <v>0</v>
      </c>
      <c r="FF258">
        <v>0</v>
      </c>
      <c r="FG258">
        <v>1</v>
      </c>
      <c r="FH258">
        <v>0</v>
      </c>
      <c r="FI258">
        <v>0</v>
      </c>
      <c r="FJ258">
        <v>1</v>
      </c>
    </row>
    <row r="259" spans="1:166" x14ac:dyDescent="0.3">
      <c r="A259" t="s">
        <v>970</v>
      </c>
      <c r="B259" t="s">
        <v>971</v>
      </c>
      <c r="C259" t="s">
        <v>1408</v>
      </c>
      <c r="D259">
        <v>2018</v>
      </c>
      <c r="E259" t="s">
        <v>921</v>
      </c>
      <c r="F259">
        <v>30.022729999999999</v>
      </c>
      <c r="G259">
        <v>31.23789</v>
      </c>
      <c r="H259" t="s">
        <v>166</v>
      </c>
      <c r="I259">
        <v>470</v>
      </c>
      <c r="J259" t="s">
        <v>166</v>
      </c>
      <c r="K259">
        <v>470</v>
      </c>
      <c r="L259" t="s">
        <v>167</v>
      </c>
      <c r="M259">
        <v>469</v>
      </c>
      <c r="N259" t="s">
        <v>167</v>
      </c>
      <c r="O259" t="s">
        <v>931</v>
      </c>
      <c r="P259" t="s">
        <v>972</v>
      </c>
      <c r="Q259">
        <v>0</v>
      </c>
      <c r="R259">
        <v>1.46992E-3</v>
      </c>
      <c r="S259" t="s">
        <v>1298</v>
      </c>
      <c r="T259" t="s">
        <v>444</v>
      </c>
      <c r="U259" t="s">
        <v>1390</v>
      </c>
      <c r="V259" t="s">
        <v>1385</v>
      </c>
      <c r="W259" t="s">
        <v>1368</v>
      </c>
      <c r="X259" t="s">
        <v>924</v>
      </c>
      <c r="Y259" t="s">
        <v>476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1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1</v>
      </c>
      <c r="FB259">
        <v>1</v>
      </c>
      <c r="FC259">
        <v>1</v>
      </c>
      <c r="FD259">
        <v>1</v>
      </c>
      <c r="FE259">
        <v>0</v>
      </c>
      <c r="FF259">
        <v>0</v>
      </c>
      <c r="FG259">
        <v>1</v>
      </c>
      <c r="FH259">
        <v>0</v>
      </c>
      <c r="FI259">
        <v>0</v>
      </c>
      <c r="FJ259">
        <v>1</v>
      </c>
    </row>
    <row r="260" spans="1:166" x14ac:dyDescent="0.3">
      <c r="A260" t="s">
        <v>973</v>
      </c>
      <c r="B260" t="s">
        <v>974</v>
      </c>
      <c r="C260" t="s">
        <v>1408</v>
      </c>
      <c r="D260">
        <v>2018</v>
      </c>
      <c r="E260" t="s">
        <v>921</v>
      </c>
      <c r="F260">
        <v>30.022729999999999</v>
      </c>
      <c r="G260">
        <v>31.23789</v>
      </c>
      <c r="H260" t="s">
        <v>166</v>
      </c>
      <c r="I260">
        <v>470</v>
      </c>
      <c r="J260" t="s">
        <v>166</v>
      </c>
      <c r="K260">
        <v>470</v>
      </c>
      <c r="L260" t="s">
        <v>167</v>
      </c>
      <c r="M260">
        <v>469</v>
      </c>
      <c r="N260" t="s">
        <v>167</v>
      </c>
      <c r="O260" t="s">
        <v>931</v>
      </c>
      <c r="P260" t="s">
        <v>972</v>
      </c>
      <c r="Q260">
        <v>0</v>
      </c>
      <c r="R260">
        <v>1.46992E-3</v>
      </c>
      <c r="S260" t="s">
        <v>1298</v>
      </c>
      <c r="T260" t="s">
        <v>444</v>
      </c>
      <c r="U260" t="s">
        <v>1390</v>
      </c>
      <c r="V260" t="s">
        <v>1386</v>
      </c>
      <c r="W260" t="s">
        <v>1368</v>
      </c>
      <c r="X260" t="s">
        <v>924</v>
      </c>
      <c r="Y260" t="s">
        <v>476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1</v>
      </c>
      <c r="AL260">
        <v>1</v>
      </c>
      <c r="AM260">
        <v>1</v>
      </c>
      <c r="AN260">
        <v>0</v>
      </c>
      <c r="AO260">
        <v>0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1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1</v>
      </c>
      <c r="FB260">
        <v>1</v>
      </c>
      <c r="FC260">
        <v>1</v>
      </c>
      <c r="FD260">
        <v>1</v>
      </c>
      <c r="FE260">
        <v>0</v>
      </c>
      <c r="FF260">
        <v>0</v>
      </c>
      <c r="FG260">
        <v>1</v>
      </c>
      <c r="FH260">
        <v>0</v>
      </c>
      <c r="FI260">
        <v>0</v>
      </c>
      <c r="FJ260">
        <v>1</v>
      </c>
    </row>
    <row r="261" spans="1:166" x14ac:dyDescent="0.3">
      <c r="A261" t="s">
        <v>975</v>
      </c>
      <c r="B261" t="s">
        <v>976</v>
      </c>
      <c r="C261" t="s">
        <v>1409</v>
      </c>
      <c r="D261">
        <v>2018</v>
      </c>
      <c r="E261" t="s">
        <v>921</v>
      </c>
      <c r="F261">
        <v>30.022729999999999</v>
      </c>
      <c r="G261">
        <v>31.23789</v>
      </c>
      <c r="H261" t="s">
        <v>166</v>
      </c>
      <c r="I261">
        <v>470</v>
      </c>
      <c r="J261" t="s">
        <v>166</v>
      </c>
      <c r="K261">
        <v>470</v>
      </c>
      <c r="L261" t="s">
        <v>167</v>
      </c>
      <c r="M261">
        <v>469</v>
      </c>
      <c r="N261" t="s">
        <v>167</v>
      </c>
      <c r="O261" t="s">
        <v>935</v>
      </c>
      <c r="P261" t="s">
        <v>802</v>
      </c>
      <c r="Q261">
        <v>0</v>
      </c>
      <c r="R261">
        <v>1.1599900000000001E-3</v>
      </c>
      <c r="S261" t="s">
        <v>1298</v>
      </c>
      <c r="T261" t="s">
        <v>444</v>
      </c>
      <c r="U261" t="s">
        <v>1390</v>
      </c>
      <c r="V261" t="s">
        <v>1387</v>
      </c>
      <c r="W261" t="s">
        <v>1368</v>
      </c>
      <c r="X261" t="s">
        <v>924</v>
      </c>
      <c r="Y261" t="s">
        <v>476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1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1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1</v>
      </c>
      <c r="FH261">
        <v>0</v>
      </c>
      <c r="FI261">
        <v>0</v>
      </c>
      <c r="FJ261">
        <v>2</v>
      </c>
    </row>
    <row r="262" spans="1:166" x14ac:dyDescent="0.3">
      <c r="A262" t="s">
        <v>977</v>
      </c>
      <c r="B262" t="s">
        <v>978</v>
      </c>
      <c r="C262" t="s">
        <v>1408</v>
      </c>
      <c r="D262">
        <v>2017</v>
      </c>
      <c r="E262" t="s">
        <v>921</v>
      </c>
      <c r="F262">
        <v>30.022729999999999</v>
      </c>
      <c r="G262">
        <v>31.23789</v>
      </c>
      <c r="H262" t="s">
        <v>166</v>
      </c>
      <c r="I262">
        <v>470</v>
      </c>
      <c r="J262" t="s">
        <v>166</v>
      </c>
      <c r="K262">
        <v>470</v>
      </c>
      <c r="L262" t="s">
        <v>167</v>
      </c>
      <c r="M262">
        <v>469</v>
      </c>
      <c r="N262" t="s">
        <v>167</v>
      </c>
      <c r="O262" t="s">
        <v>183</v>
      </c>
      <c r="P262" t="s">
        <v>397</v>
      </c>
      <c r="Q262">
        <v>0</v>
      </c>
      <c r="R262">
        <v>1.28842E-3</v>
      </c>
      <c r="S262" t="s">
        <v>923</v>
      </c>
      <c r="T262" t="s">
        <v>444</v>
      </c>
      <c r="U262" t="s">
        <v>1390</v>
      </c>
      <c r="V262" t="s">
        <v>1388</v>
      </c>
      <c r="W262" t="s">
        <v>1368</v>
      </c>
      <c r="X262" t="s">
        <v>924</v>
      </c>
      <c r="Y262" t="s">
        <v>476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1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0</v>
      </c>
      <c r="FF262">
        <v>0</v>
      </c>
      <c r="FG262">
        <v>1</v>
      </c>
      <c r="FH262">
        <v>0</v>
      </c>
      <c r="FI262">
        <v>0</v>
      </c>
      <c r="FJ262">
        <v>1</v>
      </c>
    </row>
    <row r="263" spans="1:166" x14ac:dyDescent="0.3">
      <c r="A263" t="s">
        <v>979</v>
      </c>
      <c r="B263" t="s">
        <v>980</v>
      </c>
      <c r="C263" t="s">
        <v>1409</v>
      </c>
      <c r="D263">
        <v>2016</v>
      </c>
      <c r="E263" t="s">
        <v>921</v>
      </c>
      <c r="F263">
        <v>30.022729999999999</v>
      </c>
      <c r="G263">
        <v>31.23789</v>
      </c>
      <c r="H263" t="s">
        <v>166</v>
      </c>
      <c r="I263">
        <v>470</v>
      </c>
      <c r="J263" t="s">
        <v>166</v>
      </c>
      <c r="K263">
        <v>470</v>
      </c>
      <c r="L263" t="s">
        <v>167</v>
      </c>
      <c r="M263">
        <v>469</v>
      </c>
      <c r="N263" t="s">
        <v>167</v>
      </c>
      <c r="O263" t="s">
        <v>183</v>
      </c>
      <c r="P263" t="s">
        <v>777</v>
      </c>
      <c r="Q263">
        <v>0</v>
      </c>
      <c r="R263">
        <v>8.5582099999999999E-4</v>
      </c>
      <c r="S263" t="s">
        <v>923</v>
      </c>
      <c r="T263" t="s">
        <v>444</v>
      </c>
      <c r="U263" t="s">
        <v>1390</v>
      </c>
      <c r="V263" t="s">
        <v>1389</v>
      </c>
      <c r="W263" t="s">
        <v>1368</v>
      </c>
      <c r="X263" t="s">
        <v>924</v>
      </c>
      <c r="Y263" t="s">
        <v>476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0</v>
      </c>
      <c r="FF263">
        <v>0</v>
      </c>
      <c r="FG263">
        <v>1</v>
      </c>
      <c r="FH263">
        <v>0</v>
      </c>
      <c r="FI263">
        <v>0</v>
      </c>
      <c r="FJ263">
        <v>1</v>
      </c>
    </row>
    <row r="264" spans="1:166" x14ac:dyDescent="0.3">
      <c r="A264" t="s">
        <v>981</v>
      </c>
      <c r="B264" t="s">
        <v>982</v>
      </c>
      <c r="C264" t="s">
        <v>198</v>
      </c>
      <c r="D264">
        <v>2020</v>
      </c>
      <c r="E264" t="s">
        <v>983</v>
      </c>
      <c r="F264">
        <v>30.03</v>
      </c>
      <c r="G264">
        <v>31.23</v>
      </c>
      <c r="H264" t="s">
        <v>166</v>
      </c>
      <c r="I264">
        <v>470</v>
      </c>
      <c r="J264" t="s">
        <v>166</v>
      </c>
      <c r="K264">
        <v>470</v>
      </c>
      <c r="L264" t="s">
        <v>167</v>
      </c>
      <c r="M264">
        <v>469</v>
      </c>
      <c r="N264" t="s">
        <v>167</v>
      </c>
      <c r="O264" t="s">
        <v>984</v>
      </c>
      <c r="P264" t="s">
        <v>985</v>
      </c>
      <c r="Q264">
        <v>0</v>
      </c>
      <c r="R264">
        <v>3.4604000000000002E-3</v>
      </c>
      <c r="S264" t="s">
        <v>1306</v>
      </c>
      <c r="T264" t="s">
        <v>444</v>
      </c>
      <c r="U264" t="s">
        <v>1309</v>
      </c>
      <c r="V264" t="s">
        <v>986</v>
      </c>
      <c r="W264" t="s">
        <v>987</v>
      </c>
      <c r="X264" t="s">
        <v>924</v>
      </c>
      <c r="Y264" t="s">
        <v>476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1</v>
      </c>
      <c r="EG264">
        <v>0</v>
      </c>
      <c r="EH264">
        <v>0</v>
      </c>
      <c r="EI264">
        <v>0</v>
      </c>
      <c r="EJ264">
        <v>1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</v>
      </c>
      <c r="EY264">
        <v>1</v>
      </c>
      <c r="EZ264">
        <v>0</v>
      </c>
      <c r="FA264">
        <v>1</v>
      </c>
      <c r="FB264">
        <v>0</v>
      </c>
      <c r="FC264">
        <v>1</v>
      </c>
      <c r="FD264">
        <v>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2</v>
      </c>
    </row>
    <row r="265" spans="1:166" x14ac:dyDescent="0.3">
      <c r="A265" t="s">
        <v>988</v>
      </c>
      <c r="B265" t="s">
        <v>989</v>
      </c>
      <c r="C265" t="s">
        <v>198</v>
      </c>
      <c r="D265">
        <v>2020</v>
      </c>
      <c r="E265" t="s">
        <v>983</v>
      </c>
      <c r="F265">
        <v>30.03</v>
      </c>
      <c r="G265">
        <v>31.23</v>
      </c>
      <c r="H265" t="s">
        <v>166</v>
      </c>
      <c r="I265">
        <v>470</v>
      </c>
      <c r="J265" t="s">
        <v>166</v>
      </c>
      <c r="K265">
        <v>470</v>
      </c>
      <c r="L265" t="s">
        <v>167</v>
      </c>
      <c r="M265">
        <v>469</v>
      </c>
      <c r="N265" t="s">
        <v>167</v>
      </c>
      <c r="O265" t="s">
        <v>990</v>
      </c>
      <c r="P265" t="s">
        <v>599</v>
      </c>
      <c r="Q265">
        <v>0</v>
      </c>
      <c r="R265">
        <v>3.9359299999999998E-3</v>
      </c>
      <c r="S265" t="s">
        <v>1307</v>
      </c>
      <c r="T265" t="s">
        <v>444</v>
      </c>
      <c r="U265" t="s">
        <v>1308</v>
      </c>
      <c r="V265" t="s">
        <v>986</v>
      </c>
      <c r="W265" t="s">
        <v>987</v>
      </c>
      <c r="X265" t="s">
        <v>924</v>
      </c>
      <c r="Y265" t="s">
        <v>476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1</v>
      </c>
      <c r="AM265">
        <v>1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1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1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1</v>
      </c>
      <c r="EY265">
        <v>1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</v>
      </c>
      <c r="FH265">
        <v>0</v>
      </c>
      <c r="FI265">
        <v>0</v>
      </c>
      <c r="FJ265">
        <v>2</v>
      </c>
    </row>
    <row r="266" spans="1:166" x14ac:dyDescent="0.3">
      <c r="A266" t="s">
        <v>991</v>
      </c>
      <c r="B266" t="s">
        <v>992</v>
      </c>
      <c r="D266">
        <v>2020</v>
      </c>
      <c r="E266" t="s">
        <v>983</v>
      </c>
      <c r="F266">
        <v>30.03</v>
      </c>
      <c r="G266">
        <v>31.23</v>
      </c>
      <c r="H266" t="s">
        <v>166</v>
      </c>
      <c r="I266">
        <v>470</v>
      </c>
      <c r="J266" t="s">
        <v>166</v>
      </c>
      <c r="K266">
        <v>470</v>
      </c>
      <c r="L266" t="s">
        <v>167</v>
      </c>
      <c r="M266">
        <v>469</v>
      </c>
      <c r="N266" t="s">
        <v>167</v>
      </c>
      <c r="O266" t="s">
        <v>993</v>
      </c>
      <c r="P266" t="s">
        <v>994</v>
      </c>
      <c r="Q266">
        <v>0</v>
      </c>
      <c r="R266">
        <v>1.3400700000000001E-3</v>
      </c>
      <c r="S266" t="s">
        <v>1285</v>
      </c>
      <c r="T266" t="s">
        <v>444</v>
      </c>
      <c r="U266" t="s">
        <v>1309</v>
      </c>
      <c r="V266" t="s">
        <v>986</v>
      </c>
      <c r="W266" t="s">
        <v>987</v>
      </c>
      <c r="X266" t="s">
        <v>924</v>
      </c>
      <c r="Y266" t="s">
        <v>476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1</v>
      </c>
      <c r="EZ266">
        <v>0</v>
      </c>
      <c r="FA266">
        <v>0</v>
      </c>
      <c r="FB266">
        <v>0</v>
      </c>
      <c r="FC266">
        <v>0</v>
      </c>
      <c r="FD266">
        <v>1</v>
      </c>
      <c r="FE266">
        <v>0</v>
      </c>
      <c r="FF266">
        <v>0</v>
      </c>
      <c r="FG266">
        <v>1</v>
      </c>
      <c r="FH266">
        <v>0</v>
      </c>
      <c r="FI266">
        <v>0</v>
      </c>
      <c r="FJ266">
        <v>2</v>
      </c>
    </row>
    <row r="267" spans="1:166" x14ac:dyDescent="0.3">
      <c r="A267" t="s">
        <v>995</v>
      </c>
      <c r="B267" t="s">
        <v>996</v>
      </c>
      <c r="C267" t="s">
        <v>198</v>
      </c>
      <c r="D267">
        <v>2020</v>
      </c>
      <c r="E267" t="s">
        <v>983</v>
      </c>
      <c r="F267">
        <v>30.03</v>
      </c>
      <c r="G267">
        <v>31.23</v>
      </c>
      <c r="H267" t="s">
        <v>166</v>
      </c>
      <c r="I267">
        <v>470</v>
      </c>
      <c r="J267" t="s">
        <v>166</v>
      </c>
      <c r="K267">
        <v>470</v>
      </c>
      <c r="L267" t="s">
        <v>167</v>
      </c>
      <c r="M267">
        <v>469</v>
      </c>
      <c r="N267" t="s">
        <v>167</v>
      </c>
      <c r="O267" t="s">
        <v>997</v>
      </c>
      <c r="P267" t="s">
        <v>998</v>
      </c>
      <c r="Q267">
        <v>0</v>
      </c>
      <c r="R267">
        <v>4.5489700000000003E-3</v>
      </c>
      <c r="S267" t="s">
        <v>1298</v>
      </c>
      <c r="T267" t="s">
        <v>444</v>
      </c>
      <c r="U267" t="s">
        <v>1310</v>
      </c>
      <c r="V267" t="s">
        <v>986</v>
      </c>
      <c r="W267" t="s">
        <v>987</v>
      </c>
      <c r="X267" t="s">
        <v>924</v>
      </c>
      <c r="Y267" t="s">
        <v>476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1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1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1</v>
      </c>
      <c r="EY267">
        <v>1</v>
      </c>
      <c r="EZ267">
        <v>0</v>
      </c>
      <c r="FA267">
        <v>1</v>
      </c>
      <c r="FB267">
        <v>0</v>
      </c>
      <c r="FC267">
        <v>1</v>
      </c>
      <c r="FD267">
        <v>1</v>
      </c>
      <c r="FE267">
        <v>0</v>
      </c>
      <c r="FF267">
        <v>0</v>
      </c>
      <c r="FG267">
        <v>1</v>
      </c>
      <c r="FH267">
        <v>0</v>
      </c>
      <c r="FI267">
        <v>0</v>
      </c>
      <c r="FJ267">
        <v>113</v>
      </c>
    </row>
    <row r="268" spans="1:166" x14ac:dyDescent="0.3">
      <c r="A268" t="s">
        <v>999</v>
      </c>
      <c r="B268" t="s">
        <v>1000</v>
      </c>
      <c r="C268" t="s">
        <v>198</v>
      </c>
      <c r="D268">
        <v>2020</v>
      </c>
      <c r="E268" t="s">
        <v>983</v>
      </c>
      <c r="F268">
        <v>30.03</v>
      </c>
      <c r="G268">
        <v>31.23</v>
      </c>
      <c r="H268" t="s">
        <v>166</v>
      </c>
      <c r="I268">
        <v>470</v>
      </c>
      <c r="J268" t="s">
        <v>166</v>
      </c>
      <c r="K268">
        <v>470</v>
      </c>
      <c r="L268" t="s">
        <v>167</v>
      </c>
      <c r="M268">
        <v>469</v>
      </c>
      <c r="N268" t="s">
        <v>167</v>
      </c>
      <c r="O268" t="s">
        <v>1001</v>
      </c>
      <c r="P268" t="s">
        <v>500</v>
      </c>
      <c r="Q268">
        <v>0</v>
      </c>
      <c r="R268">
        <v>1.86568E-3</v>
      </c>
      <c r="S268" t="s">
        <v>1300</v>
      </c>
      <c r="T268" t="s">
        <v>444</v>
      </c>
      <c r="U268" t="s">
        <v>1311</v>
      </c>
      <c r="V268" t="s">
        <v>986</v>
      </c>
      <c r="W268" t="s">
        <v>987</v>
      </c>
      <c r="X268" t="s">
        <v>924</v>
      </c>
      <c r="Y268" t="s">
        <v>476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1</v>
      </c>
      <c r="EU268">
        <v>0</v>
      </c>
      <c r="EV268">
        <v>0</v>
      </c>
      <c r="EW268">
        <v>0</v>
      </c>
      <c r="EX268">
        <v>1</v>
      </c>
      <c r="EY268">
        <v>1</v>
      </c>
      <c r="EZ268">
        <v>0</v>
      </c>
      <c r="FA268">
        <v>0</v>
      </c>
      <c r="FB268">
        <v>0</v>
      </c>
      <c r="FC268">
        <v>0</v>
      </c>
      <c r="FD268">
        <v>1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85</v>
      </c>
    </row>
    <row r="269" spans="1:166" x14ac:dyDescent="0.3">
      <c r="A269" t="s">
        <v>1002</v>
      </c>
      <c r="B269" t="s">
        <v>1003</v>
      </c>
      <c r="C269" t="s">
        <v>198</v>
      </c>
      <c r="D269">
        <v>2020</v>
      </c>
      <c r="E269" t="s">
        <v>983</v>
      </c>
      <c r="F269">
        <v>30.03</v>
      </c>
      <c r="G269">
        <v>31.23</v>
      </c>
      <c r="H269" t="s">
        <v>166</v>
      </c>
      <c r="I269">
        <v>470</v>
      </c>
      <c r="J269" t="s">
        <v>166</v>
      </c>
      <c r="K269">
        <v>470</v>
      </c>
      <c r="L269" t="s">
        <v>167</v>
      </c>
      <c r="M269">
        <v>469</v>
      </c>
      <c r="N269" t="s">
        <v>167</v>
      </c>
      <c r="O269" t="s">
        <v>1004</v>
      </c>
      <c r="P269" t="s">
        <v>581</v>
      </c>
      <c r="Q269">
        <v>0</v>
      </c>
      <c r="R269">
        <v>1.9728200000000001E-3</v>
      </c>
      <c r="S269" t="s">
        <v>1313</v>
      </c>
      <c r="T269" t="s">
        <v>444</v>
      </c>
      <c r="U269" t="s">
        <v>1312</v>
      </c>
      <c r="V269" t="s">
        <v>986</v>
      </c>
      <c r="W269" t="s">
        <v>987</v>
      </c>
      <c r="X269" t="s">
        <v>924</v>
      </c>
      <c r="Y269" t="s">
        <v>476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1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1</v>
      </c>
      <c r="EU269">
        <v>0</v>
      </c>
      <c r="EV269">
        <v>0</v>
      </c>
      <c r="EW269">
        <v>0</v>
      </c>
      <c r="EX269">
        <v>1</v>
      </c>
      <c r="EY269">
        <v>1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85</v>
      </c>
    </row>
    <row r="270" spans="1:166" x14ac:dyDescent="0.3">
      <c r="A270" t="s">
        <v>1005</v>
      </c>
      <c r="B270" t="s">
        <v>1006</v>
      </c>
      <c r="C270" t="s">
        <v>198</v>
      </c>
      <c r="D270">
        <v>2020</v>
      </c>
      <c r="E270" t="s">
        <v>983</v>
      </c>
      <c r="F270">
        <v>30.03</v>
      </c>
      <c r="G270">
        <v>31.23</v>
      </c>
      <c r="H270" t="s">
        <v>166</v>
      </c>
      <c r="I270">
        <v>470</v>
      </c>
      <c r="J270" t="s">
        <v>166</v>
      </c>
      <c r="K270">
        <v>470</v>
      </c>
      <c r="L270" t="s">
        <v>167</v>
      </c>
      <c r="M270">
        <v>469</v>
      </c>
      <c r="N270" t="s">
        <v>167</v>
      </c>
      <c r="O270" t="s">
        <v>997</v>
      </c>
      <c r="P270" t="s">
        <v>1007</v>
      </c>
      <c r="Q270">
        <v>0</v>
      </c>
      <c r="R270">
        <v>5.4113700000000004E-3</v>
      </c>
      <c r="S270" t="s">
        <v>1301</v>
      </c>
      <c r="T270" t="s">
        <v>444</v>
      </c>
      <c r="U270" t="s">
        <v>1314</v>
      </c>
      <c r="V270" t="s">
        <v>986</v>
      </c>
      <c r="W270" t="s">
        <v>987</v>
      </c>
      <c r="X270" t="s">
        <v>924</v>
      </c>
      <c r="Y270" t="s">
        <v>476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1</v>
      </c>
      <c r="FE270">
        <v>0</v>
      </c>
      <c r="FF270">
        <v>0</v>
      </c>
      <c r="FG270">
        <v>1</v>
      </c>
      <c r="FH270">
        <v>0</v>
      </c>
      <c r="FI270">
        <v>0</v>
      </c>
      <c r="FJ270" t="s">
        <v>198</v>
      </c>
    </row>
    <row r="271" spans="1:166" x14ac:dyDescent="0.3">
      <c r="A271" t="s">
        <v>1008</v>
      </c>
      <c r="B271" t="s">
        <v>1009</v>
      </c>
      <c r="C271" t="s">
        <v>198</v>
      </c>
      <c r="D271">
        <v>2020</v>
      </c>
      <c r="E271" t="s">
        <v>983</v>
      </c>
      <c r="F271">
        <v>30.03</v>
      </c>
      <c r="G271">
        <v>31.23</v>
      </c>
      <c r="H271" t="s">
        <v>166</v>
      </c>
      <c r="I271">
        <v>470</v>
      </c>
      <c r="J271" t="s">
        <v>166</v>
      </c>
      <c r="K271">
        <v>470</v>
      </c>
      <c r="L271" t="s">
        <v>167</v>
      </c>
      <c r="M271">
        <v>469</v>
      </c>
      <c r="N271" t="s">
        <v>167</v>
      </c>
      <c r="O271" t="s">
        <v>1010</v>
      </c>
      <c r="P271" t="s">
        <v>954</v>
      </c>
      <c r="Q271">
        <v>0</v>
      </c>
      <c r="R271">
        <v>2.4635999999999998E-3</v>
      </c>
      <c r="S271" t="s">
        <v>1307</v>
      </c>
      <c r="T271" t="s">
        <v>444</v>
      </c>
      <c r="U271" t="s">
        <v>1314</v>
      </c>
      <c r="V271" t="s">
        <v>986</v>
      </c>
      <c r="W271" t="s">
        <v>987</v>
      </c>
      <c r="X271" t="s">
        <v>924</v>
      </c>
      <c r="Y271" t="s">
        <v>476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1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19</v>
      </c>
    </row>
    <row r="272" spans="1:166" x14ac:dyDescent="0.3">
      <c r="A272" t="s">
        <v>1011</v>
      </c>
      <c r="B272" t="s">
        <v>1012</v>
      </c>
      <c r="C272" t="s">
        <v>198</v>
      </c>
      <c r="D272">
        <v>2020</v>
      </c>
      <c r="E272" t="s">
        <v>983</v>
      </c>
      <c r="F272">
        <v>30.03</v>
      </c>
      <c r="G272">
        <v>31.23</v>
      </c>
      <c r="H272" t="s">
        <v>166</v>
      </c>
      <c r="I272">
        <v>470</v>
      </c>
      <c r="J272" t="s">
        <v>166</v>
      </c>
      <c r="K272">
        <v>470</v>
      </c>
      <c r="L272" t="s">
        <v>167</v>
      </c>
      <c r="M272">
        <v>469</v>
      </c>
      <c r="N272" t="s">
        <v>167</v>
      </c>
      <c r="O272" t="s">
        <v>1013</v>
      </c>
      <c r="P272" t="s">
        <v>1014</v>
      </c>
      <c r="Q272">
        <v>0</v>
      </c>
      <c r="R272">
        <v>1.7592199999999999E-3</v>
      </c>
      <c r="S272" t="s">
        <v>1300</v>
      </c>
      <c r="T272" t="s">
        <v>444</v>
      </c>
      <c r="U272" t="s">
        <v>1314</v>
      </c>
      <c r="V272" t="s">
        <v>986</v>
      </c>
      <c r="W272" t="s">
        <v>987</v>
      </c>
      <c r="X272" t="s">
        <v>924</v>
      </c>
      <c r="Y272" t="s">
        <v>476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1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0</v>
      </c>
      <c r="FA272">
        <v>0</v>
      </c>
      <c r="FB272">
        <v>0</v>
      </c>
      <c r="FC272">
        <v>0</v>
      </c>
      <c r="FD272">
        <v>1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2</v>
      </c>
    </row>
    <row r="273" spans="1:166" x14ac:dyDescent="0.3">
      <c r="A273" t="s">
        <v>1015</v>
      </c>
      <c r="B273" t="s">
        <v>1016</v>
      </c>
      <c r="C273" t="s">
        <v>198</v>
      </c>
      <c r="D273">
        <v>2020</v>
      </c>
      <c r="E273" t="s">
        <v>983</v>
      </c>
      <c r="F273">
        <v>30.03</v>
      </c>
      <c r="G273">
        <v>31.23</v>
      </c>
      <c r="H273" t="s">
        <v>166</v>
      </c>
      <c r="I273">
        <v>470</v>
      </c>
      <c r="J273" t="s">
        <v>166</v>
      </c>
      <c r="K273">
        <v>470</v>
      </c>
      <c r="L273" t="s">
        <v>167</v>
      </c>
      <c r="M273">
        <v>469</v>
      </c>
      <c r="N273" t="s">
        <v>167</v>
      </c>
      <c r="O273" t="s">
        <v>1010</v>
      </c>
      <c r="P273" t="s">
        <v>819</v>
      </c>
      <c r="Q273">
        <v>0</v>
      </c>
      <c r="R273">
        <v>1.94597E-3</v>
      </c>
      <c r="S273" t="s">
        <v>1300</v>
      </c>
      <c r="T273" t="s">
        <v>444</v>
      </c>
      <c r="U273" t="s">
        <v>1315</v>
      </c>
      <c r="V273" t="s">
        <v>986</v>
      </c>
      <c r="W273" t="s">
        <v>987</v>
      </c>
      <c r="X273" t="s">
        <v>924</v>
      </c>
      <c r="Y273" t="s">
        <v>476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1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1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19</v>
      </c>
    </row>
    <row r="274" spans="1:166" x14ac:dyDescent="0.3">
      <c r="A274" t="s">
        <v>1017</v>
      </c>
      <c r="B274" t="s">
        <v>1018</v>
      </c>
      <c r="D274">
        <v>2020</v>
      </c>
      <c r="E274" t="s">
        <v>983</v>
      </c>
      <c r="F274">
        <v>30.03</v>
      </c>
      <c r="G274">
        <v>31.23</v>
      </c>
      <c r="H274" t="s">
        <v>166</v>
      </c>
      <c r="I274">
        <v>470</v>
      </c>
      <c r="J274" t="s">
        <v>166</v>
      </c>
      <c r="K274">
        <v>470</v>
      </c>
      <c r="L274" t="s">
        <v>167</v>
      </c>
      <c r="M274">
        <v>469</v>
      </c>
      <c r="N274" t="s">
        <v>167</v>
      </c>
      <c r="O274" t="s">
        <v>1019</v>
      </c>
      <c r="P274" t="s">
        <v>1020</v>
      </c>
      <c r="Q274">
        <v>0</v>
      </c>
      <c r="R274">
        <v>3.1696599999999999E-3</v>
      </c>
      <c r="S274" t="s">
        <v>1298</v>
      </c>
      <c r="T274" t="s">
        <v>444</v>
      </c>
      <c r="U274" t="s">
        <v>1310</v>
      </c>
      <c r="V274" t="s">
        <v>986</v>
      </c>
      <c r="W274" t="s">
        <v>987</v>
      </c>
      <c r="X274" t="s">
        <v>924</v>
      </c>
      <c r="Y274" t="s">
        <v>476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1</v>
      </c>
      <c r="EG274">
        <v>0</v>
      </c>
      <c r="EH274">
        <v>0</v>
      </c>
      <c r="EI274">
        <v>0</v>
      </c>
      <c r="EJ274">
        <v>1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1</v>
      </c>
      <c r="EZ274">
        <v>0</v>
      </c>
      <c r="FA274">
        <v>1</v>
      </c>
      <c r="FB274">
        <v>0</v>
      </c>
      <c r="FC274">
        <v>1</v>
      </c>
      <c r="FD274">
        <v>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2</v>
      </c>
    </row>
    <row r="275" spans="1:166" x14ac:dyDescent="0.3">
      <c r="A275" t="s">
        <v>1021</v>
      </c>
      <c r="B275" t="s">
        <v>1022</v>
      </c>
      <c r="C275" t="s">
        <v>1408</v>
      </c>
      <c r="D275">
        <v>2020</v>
      </c>
      <c r="E275" t="s">
        <v>983</v>
      </c>
      <c r="F275">
        <v>30.03</v>
      </c>
      <c r="G275">
        <v>31.23</v>
      </c>
      <c r="H275" t="s">
        <v>166</v>
      </c>
      <c r="I275">
        <v>470</v>
      </c>
      <c r="J275" t="s">
        <v>166</v>
      </c>
      <c r="K275">
        <v>470</v>
      </c>
      <c r="L275" t="s">
        <v>167</v>
      </c>
      <c r="M275">
        <v>469</v>
      </c>
      <c r="N275" t="s">
        <v>167</v>
      </c>
      <c r="O275" t="s">
        <v>1023</v>
      </c>
      <c r="P275" t="s">
        <v>1024</v>
      </c>
      <c r="Q275">
        <v>0</v>
      </c>
      <c r="R275">
        <v>2.7144399999999998E-3</v>
      </c>
      <c r="S275" t="s">
        <v>1285</v>
      </c>
      <c r="T275" t="s">
        <v>444</v>
      </c>
      <c r="U275" t="s">
        <v>1316</v>
      </c>
      <c r="V275" t="s">
        <v>986</v>
      </c>
      <c r="W275" t="s">
        <v>987</v>
      </c>
      <c r="X275" t="s">
        <v>924</v>
      </c>
      <c r="Y275" t="s">
        <v>476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1</v>
      </c>
      <c r="EG275">
        <v>0</v>
      </c>
      <c r="EH275">
        <v>0</v>
      </c>
      <c r="EI275">
        <v>0</v>
      </c>
      <c r="EJ275">
        <v>1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1</v>
      </c>
      <c r="EY275">
        <v>1</v>
      </c>
      <c r="EZ275">
        <v>0</v>
      </c>
      <c r="FA275">
        <v>1</v>
      </c>
      <c r="FB275">
        <v>0</v>
      </c>
      <c r="FC275">
        <v>0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2</v>
      </c>
    </row>
    <row r="276" spans="1:166" x14ac:dyDescent="0.3">
      <c r="A276" t="s">
        <v>1025</v>
      </c>
      <c r="B276" t="s">
        <v>1026</v>
      </c>
      <c r="C276" t="s">
        <v>198</v>
      </c>
      <c r="D276">
        <v>2020</v>
      </c>
      <c r="E276" t="s">
        <v>983</v>
      </c>
      <c r="F276">
        <v>30.03</v>
      </c>
      <c r="G276">
        <v>31.23</v>
      </c>
      <c r="H276" t="s">
        <v>166</v>
      </c>
      <c r="I276">
        <v>470</v>
      </c>
      <c r="J276" t="s">
        <v>166</v>
      </c>
      <c r="K276">
        <v>470</v>
      </c>
      <c r="L276" t="s">
        <v>167</v>
      </c>
      <c r="M276">
        <v>469</v>
      </c>
      <c r="N276" t="s">
        <v>167</v>
      </c>
      <c r="O276" t="s">
        <v>1027</v>
      </c>
      <c r="P276" t="s">
        <v>578</v>
      </c>
      <c r="Q276">
        <v>0</v>
      </c>
      <c r="R276">
        <v>1.7857699999999999E-3</v>
      </c>
      <c r="S276" t="s">
        <v>1298</v>
      </c>
      <c r="T276" t="s">
        <v>444</v>
      </c>
      <c r="U276" t="s">
        <v>1314</v>
      </c>
      <c r="V276" t="s">
        <v>986</v>
      </c>
      <c r="W276" t="s">
        <v>987</v>
      </c>
      <c r="X276" t="s">
        <v>924</v>
      </c>
      <c r="Y276" t="s">
        <v>476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1</v>
      </c>
      <c r="EY276">
        <v>1</v>
      </c>
      <c r="EZ276">
        <v>0</v>
      </c>
      <c r="FA276">
        <v>0</v>
      </c>
      <c r="FB276">
        <v>0</v>
      </c>
      <c r="FC276">
        <v>0</v>
      </c>
      <c r="FD276">
        <v>1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85</v>
      </c>
    </row>
    <row r="277" spans="1:166" x14ac:dyDescent="0.3">
      <c r="A277" t="s">
        <v>1028</v>
      </c>
      <c r="B277" t="s">
        <v>1029</v>
      </c>
      <c r="C277" t="s">
        <v>198</v>
      </c>
      <c r="D277">
        <v>2020</v>
      </c>
      <c r="E277" t="s">
        <v>983</v>
      </c>
      <c r="F277">
        <v>30.03</v>
      </c>
      <c r="G277">
        <v>31.23</v>
      </c>
      <c r="H277" t="s">
        <v>166</v>
      </c>
      <c r="I277">
        <v>470</v>
      </c>
      <c r="J277" t="s">
        <v>166</v>
      </c>
      <c r="K277">
        <v>470</v>
      </c>
      <c r="L277" t="s">
        <v>167</v>
      </c>
      <c r="M277">
        <v>469</v>
      </c>
      <c r="N277" t="s">
        <v>167</v>
      </c>
      <c r="O277" t="s">
        <v>714</v>
      </c>
      <c r="P277" t="s">
        <v>1030</v>
      </c>
      <c r="Q277">
        <v>0</v>
      </c>
      <c r="R277">
        <v>5.2161400000000002E-3</v>
      </c>
      <c r="S277" t="s">
        <v>1298</v>
      </c>
      <c r="T277" t="s">
        <v>444</v>
      </c>
      <c r="U277" t="s">
        <v>1314</v>
      </c>
      <c r="V277" t="s">
        <v>986</v>
      </c>
      <c r="W277" t="s">
        <v>987</v>
      </c>
      <c r="X277" t="s">
        <v>924</v>
      </c>
      <c r="Y277" t="s">
        <v>476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164</v>
      </c>
    </row>
    <row r="278" spans="1:166" x14ac:dyDescent="0.3">
      <c r="A278" t="s">
        <v>1031</v>
      </c>
      <c r="B278" t="s">
        <v>1032</v>
      </c>
      <c r="C278" t="s">
        <v>198</v>
      </c>
      <c r="D278">
        <v>2020</v>
      </c>
      <c r="E278" t="s">
        <v>983</v>
      </c>
      <c r="F278">
        <v>30.03</v>
      </c>
      <c r="G278">
        <v>31.23</v>
      </c>
      <c r="H278" t="s">
        <v>166</v>
      </c>
      <c r="I278">
        <v>470</v>
      </c>
      <c r="J278" t="s">
        <v>166</v>
      </c>
      <c r="K278">
        <v>470</v>
      </c>
      <c r="L278" t="s">
        <v>167</v>
      </c>
      <c r="M278">
        <v>469</v>
      </c>
      <c r="N278" t="s">
        <v>167</v>
      </c>
      <c r="O278" t="s">
        <v>1033</v>
      </c>
      <c r="P278" t="s">
        <v>1034</v>
      </c>
      <c r="Q278">
        <v>0</v>
      </c>
      <c r="R278">
        <v>4.4556600000000002E-3</v>
      </c>
      <c r="S278" t="s">
        <v>1298</v>
      </c>
      <c r="T278" t="s">
        <v>444</v>
      </c>
      <c r="U278" t="s">
        <v>1317</v>
      </c>
      <c r="V278" t="s">
        <v>986</v>
      </c>
      <c r="W278" t="s">
        <v>987</v>
      </c>
      <c r="X278" t="s">
        <v>924</v>
      </c>
      <c r="Y278" t="s">
        <v>476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1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1</v>
      </c>
      <c r="EG278">
        <v>0</v>
      </c>
      <c r="EH278">
        <v>1</v>
      </c>
      <c r="EI278">
        <v>0</v>
      </c>
      <c r="EJ278">
        <v>1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1</v>
      </c>
      <c r="EZ278">
        <v>1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570</v>
      </c>
    </row>
    <row r="279" spans="1:166" x14ac:dyDescent="0.3">
      <c r="A279" t="s">
        <v>1035</v>
      </c>
      <c r="B279" t="s">
        <v>1036</v>
      </c>
      <c r="C279" t="s">
        <v>1401</v>
      </c>
      <c r="D279">
        <v>2017</v>
      </c>
      <c r="E279" t="s">
        <v>1037</v>
      </c>
      <c r="F279">
        <v>-29</v>
      </c>
      <c r="G279">
        <v>24</v>
      </c>
      <c r="H279" t="s">
        <v>166</v>
      </c>
      <c r="I279">
        <v>470</v>
      </c>
      <c r="J279" t="s">
        <v>166</v>
      </c>
      <c r="K279">
        <v>470</v>
      </c>
      <c r="L279" t="s">
        <v>167</v>
      </c>
      <c r="M279">
        <v>469</v>
      </c>
      <c r="N279" t="s">
        <v>167</v>
      </c>
      <c r="O279" t="s">
        <v>1038</v>
      </c>
      <c r="P279" t="s">
        <v>344</v>
      </c>
      <c r="Q279">
        <v>0</v>
      </c>
      <c r="R279">
        <v>2.1348299999999999E-3</v>
      </c>
      <c r="S279" t="s">
        <v>1290</v>
      </c>
      <c r="V279" t="s">
        <v>1039</v>
      </c>
      <c r="W279" t="s">
        <v>1040</v>
      </c>
      <c r="Y279" t="s">
        <v>448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1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1</v>
      </c>
      <c r="FE279">
        <v>0</v>
      </c>
      <c r="FF279">
        <v>0</v>
      </c>
      <c r="FG279">
        <v>1</v>
      </c>
      <c r="FH279">
        <v>0</v>
      </c>
      <c r="FI279">
        <v>0</v>
      </c>
      <c r="FJ279">
        <v>107</v>
      </c>
    </row>
    <row r="280" spans="1:166" x14ac:dyDescent="0.3">
      <c r="A280" t="s">
        <v>1041</v>
      </c>
      <c r="B280" t="s">
        <v>1042</v>
      </c>
      <c r="C280" t="s">
        <v>1407</v>
      </c>
      <c r="D280">
        <v>2017</v>
      </c>
      <c r="E280" t="s">
        <v>1043</v>
      </c>
      <c r="F280">
        <v>-28.3</v>
      </c>
      <c r="G280">
        <v>25.3</v>
      </c>
      <c r="H280" t="s">
        <v>166</v>
      </c>
      <c r="I280">
        <v>470</v>
      </c>
      <c r="J280" t="s">
        <v>166</v>
      </c>
      <c r="K280">
        <v>470</v>
      </c>
      <c r="L280" t="s">
        <v>167</v>
      </c>
      <c r="M280">
        <v>469</v>
      </c>
      <c r="N280" t="s">
        <v>167</v>
      </c>
      <c r="O280" t="s">
        <v>1044</v>
      </c>
      <c r="P280" t="s">
        <v>611</v>
      </c>
      <c r="Q280">
        <v>0</v>
      </c>
      <c r="R280">
        <v>4.8344600000000001E-4</v>
      </c>
      <c r="T280" t="s">
        <v>444</v>
      </c>
      <c r="U280" t="s">
        <v>1308</v>
      </c>
      <c r="V280" t="s">
        <v>1045</v>
      </c>
      <c r="W280" t="s">
        <v>1040</v>
      </c>
      <c r="X280" t="s">
        <v>1046</v>
      </c>
      <c r="Y280" t="s">
        <v>448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1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1</v>
      </c>
      <c r="EI280">
        <v>0</v>
      </c>
      <c r="EJ280">
        <v>0</v>
      </c>
      <c r="EK280">
        <v>0</v>
      </c>
      <c r="EL280">
        <v>1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</v>
      </c>
      <c r="EY280">
        <v>1</v>
      </c>
      <c r="EZ280">
        <v>0</v>
      </c>
      <c r="FA280">
        <v>1</v>
      </c>
      <c r="FB280">
        <v>1</v>
      </c>
      <c r="FC280">
        <v>1</v>
      </c>
      <c r="FD280">
        <v>1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1</v>
      </c>
    </row>
    <row r="281" spans="1:166" x14ac:dyDescent="0.3">
      <c r="A281" t="s">
        <v>1047</v>
      </c>
      <c r="B281" t="s">
        <v>1048</v>
      </c>
      <c r="C281" t="s">
        <v>1400</v>
      </c>
      <c r="D281">
        <v>2019</v>
      </c>
      <c r="E281" t="s">
        <v>1049</v>
      </c>
      <c r="F281">
        <v>-1.2833300000000001</v>
      </c>
      <c r="G281">
        <v>36.816670000000002</v>
      </c>
      <c r="H281" t="s">
        <v>166</v>
      </c>
      <c r="I281">
        <v>470</v>
      </c>
      <c r="J281" t="s">
        <v>166</v>
      </c>
      <c r="K281">
        <v>470</v>
      </c>
      <c r="L281" t="s">
        <v>167</v>
      </c>
      <c r="M281">
        <v>469</v>
      </c>
      <c r="N281" t="s">
        <v>167</v>
      </c>
      <c r="O281" t="s">
        <v>1050</v>
      </c>
      <c r="P281" t="s">
        <v>316</v>
      </c>
      <c r="Q281">
        <v>0</v>
      </c>
      <c r="R281">
        <v>1.31423E-3</v>
      </c>
      <c r="S281" t="s">
        <v>1318</v>
      </c>
      <c r="T281" t="s">
        <v>444</v>
      </c>
      <c r="V281" t="s">
        <v>1356</v>
      </c>
      <c r="W281" t="s">
        <v>1357</v>
      </c>
      <c r="Y281" t="s">
        <v>1051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0</v>
      </c>
      <c r="EL281">
        <v>1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</v>
      </c>
      <c r="EY281">
        <v>1</v>
      </c>
      <c r="EZ281">
        <v>0</v>
      </c>
      <c r="FA281">
        <v>1</v>
      </c>
      <c r="FB281">
        <v>0</v>
      </c>
      <c r="FC281">
        <v>0</v>
      </c>
      <c r="FD281">
        <v>1</v>
      </c>
      <c r="FE281">
        <v>0</v>
      </c>
      <c r="FF281">
        <v>0</v>
      </c>
      <c r="FG281">
        <v>1</v>
      </c>
      <c r="FH281">
        <v>0</v>
      </c>
      <c r="FI281">
        <v>0</v>
      </c>
      <c r="FJ281">
        <v>2</v>
      </c>
    </row>
    <row r="282" spans="1:166" x14ac:dyDescent="0.3">
      <c r="A282" t="s">
        <v>1052</v>
      </c>
      <c r="B282" t="s">
        <v>1053</v>
      </c>
      <c r="C282" t="s">
        <v>1404</v>
      </c>
      <c r="D282">
        <v>2019</v>
      </c>
      <c r="E282" t="s">
        <v>1049</v>
      </c>
      <c r="F282">
        <v>-1.2833300000000001</v>
      </c>
      <c r="G282">
        <v>36.816670000000002</v>
      </c>
      <c r="H282" t="s">
        <v>166</v>
      </c>
      <c r="I282">
        <v>470</v>
      </c>
      <c r="J282" t="s">
        <v>166</v>
      </c>
      <c r="K282">
        <v>470</v>
      </c>
      <c r="L282" t="s">
        <v>167</v>
      </c>
      <c r="M282">
        <v>469</v>
      </c>
      <c r="N282" t="s">
        <v>167</v>
      </c>
      <c r="O282" t="s">
        <v>1054</v>
      </c>
      <c r="P282" t="s">
        <v>1055</v>
      </c>
      <c r="Q282">
        <v>0</v>
      </c>
      <c r="R282">
        <v>4.7686200000000003E-3</v>
      </c>
      <c r="S282" t="s">
        <v>1318</v>
      </c>
      <c r="T282" t="s">
        <v>444</v>
      </c>
      <c r="V282" t="s">
        <v>1356</v>
      </c>
      <c r="W282" t="s">
        <v>1357</v>
      </c>
      <c r="Y282" t="s">
        <v>1051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1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1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1</v>
      </c>
      <c r="EM282">
        <v>0</v>
      </c>
      <c r="EN282">
        <v>0</v>
      </c>
      <c r="EO282">
        <v>0</v>
      </c>
      <c r="EP282">
        <v>0</v>
      </c>
      <c r="EQ282">
        <v>1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1</v>
      </c>
      <c r="EZ282">
        <v>0</v>
      </c>
      <c r="FA282">
        <v>1</v>
      </c>
      <c r="FB282">
        <v>0</v>
      </c>
      <c r="FC282">
        <v>1</v>
      </c>
      <c r="FD282">
        <v>1</v>
      </c>
      <c r="FE282">
        <v>0</v>
      </c>
      <c r="FF282">
        <v>0</v>
      </c>
      <c r="FG282">
        <v>1</v>
      </c>
      <c r="FH282">
        <v>0</v>
      </c>
      <c r="FI282">
        <v>0</v>
      </c>
      <c r="FJ282">
        <v>54</v>
      </c>
    </row>
    <row r="283" spans="1:166" x14ac:dyDescent="0.3">
      <c r="A283" t="s">
        <v>1056</v>
      </c>
      <c r="B283" t="s">
        <v>1057</v>
      </c>
      <c r="C283" t="s">
        <v>1403</v>
      </c>
      <c r="D283">
        <v>2019</v>
      </c>
      <c r="E283" t="s">
        <v>1049</v>
      </c>
      <c r="F283">
        <v>-1.2833300000000001</v>
      </c>
      <c r="G283">
        <v>36.816670000000002</v>
      </c>
      <c r="H283" t="s">
        <v>166</v>
      </c>
      <c r="I283">
        <v>470</v>
      </c>
      <c r="J283" t="s">
        <v>166</v>
      </c>
      <c r="K283">
        <v>470</v>
      </c>
      <c r="L283" t="s">
        <v>167</v>
      </c>
      <c r="M283">
        <v>469</v>
      </c>
      <c r="N283" t="s">
        <v>167</v>
      </c>
      <c r="O283" t="s">
        <v>1058</v>
      </c>
      <c r="P283" t="s">
        <v>812</v>
      </c>
      <c r="Q283">
        <v>0</v>
      </c>
      <c r="R283">
        <v>3.40187E-3</v>
      </c>
      <c r="S283" t="s">
        <v>1318</v>
      </c>
      <c r="T283" t="s">
        <v>444</v>
      </c>
      <c r="V283" t="s">
        <v>1356</v>
      </c>
      <c r="W283" t="s">
        <v>1357</v>
      </c>
      <c r="Y283" t="s">
        <v>1051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1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</row>
    <row r="284" spans="1:166" x14ac:dyDescent="0.3">
      <c r="A284" t="s">
        <v>1059</v>
      </c>
      <c r="B284" t="s">
        <v>1060</v>
      </c>
      <c r="C284" t="s">
        <v>1400</v>
      </c>
      <c r="D284">
        <v>2019</v>
      </c>
      <c r="E284" t="s">
        <v>1049</v>
      </c>
      <c r="F284">
        <v>-1.2833300000000001</v>
      </c>
      <c r="G284">
        <v>36.816670000000002</v>
      </c>
      <c r="H284" t="s">
        <v>166</v>
      </c>
      <c r="I284">
        <v>470</v>
      </c>
      <c r="J284" t="s">
        <v>166</v>
      </c>
      <c r="K284">
        <v>470</v>
      </c>
      <c r="L284" t="s">
        <v>167</v>
      </c>
      <c r="M284">
        <v>469</v>
      </c>
      <c r="N284" t="s">
        <v>167</v>
      </c>
      <c r="O284" t="s">
        <v>1058</v>
      </c>
      <c r="P284" t="s">
        <v>1061</v>
      </c>
      <c r="Q284">
        <v>0</v>
      </c>
      <c r="R284">
        <v>3.3144200000000002E-3</v>
      </c>
      <c r="S284" t="s">
        <v>1318</v>
      </c>
      <c r="T284" t="s">
        <v>444</v>
      </c>
      <c r="V284" t="s">
        <v>1356</v>
      </c>
      <c r="W284" t="s">
        <v>1357</v>
      </c>
      <c r="Y284" t="s">
        <v>1051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1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</row>
    <row r="285" spans="1:166" x14ac:dyDescent="0.3">
      <c r="A285" t="s">
        <v>1062</v>
      </c>
      <c r="B285" t="s">
        <v>1063</v>
      </c>
      <c r="C285" t="s">
        <v>1401</v>
      </c>
      <c r="D285">
        <v>2017</v>
      </c>
      <c r="E285" t="s">
        <v>1064</v>
      </c>
      <c r="F285">
        <v>-28.503833</v>
      </c>
      <c r="G285">
        <v>30.887500899999999</v>
      </c>
      <c r="H285" t="s">
        <v>166</v>
      </c>
      <c r="I285">
        <v>470</v>
      </c>
      <c r="J285" t="s">
        <v>166</v>
      </c>
      <c r="K285">
        <v>470</v>
      </c>
      <c r="L285" t="s">
        <v>167</v>
      </c>
      <c r="M285">
        <v>469</v>
      </c>
      <c r="N285" t="s">
        <v>167</v>
      </c>
      <c r="O285" t="s">
        <v>442</v>
      </c>
      <c r="P285" t="s">
        <v>510</v>
      </c>
      <c r="Q285">
        <v>0</v>
      </c>
      <c r="R285">
        <v>4.3443900000000001E-4</v>
      </c>
      <c r="S285" t="s">
        <v>1290</v>
      </c>
      <c r="V285" t="s">
        <v>1065</v>
      </c>
      <c r="W285" t="s">
        <v>1066</v>
      </c>
      <c r="X285" t="s">
        <v>1046</v>
      </c>
      <c r="Y285" t="s">
        <v>448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</v>
      </c>
      <c r="AT285">
        <v>1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0</v>
      </c>
      <c r="EK285">
        <v>0</v>
      </c>
      <c r="EL285">
        <v>1</v>
      </c>
      <c r="EM285">
        <v>1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1</v>
      </c>
      <c r="EZ285">
        <v>0</v>
      </c>
      <c r="FA285">
        <v>1</v>
      </c>
      <c r="FB285">
        <v>1</v>
      </c>
      <c r="FC285">
        <v>1</v>
      </c>
      <c r="FD285">
        <v>1</v>
      </c>
      <c r="FE285">
        <v>0</v>
      </c>
      <c r="FF285">
        <v>0</v>
      </c>
      <c r="FG285">
        <v>1</v>
      </c>
      <c r="FH285">
        <v>0</v>
      </c>
      <c r="FI285">
        <v>0</v>
      </c>
      <c r="FJ285">
        <v>1</v>
      </c>
    </row>
    <row r="286" spans="1:166" x14ac:dyDescent="0.3">
      <c r="A286" t="s">
        <v>1067</v>
      </c>
      <c r="B286" t="s">
        <v>1068</v>
      </c>
      <c r="C286" t="s">
        <v>198</v>
      </c>
      <c r="D286">
        <v>1999</v>
      </c>
      <c r="E286" t="s">
        <v>1069</v>
      </c>
      <c r="F286">
        <v>-25.44</v>
      </c>
      <c r="G286">
        <v>28.11</v>
      </c>
      <c r="H286" t="s">
        <v>166</v>
      </c>
      <c r="I286">
        <v>470</v>
      </c>
      <c r="J286" t="s">
        <v>166</v>
      </c>
      <c r="K286">
        <v>470</v>
      </c>
      <c r="L286" t="s">
        <v>167</v>
      </c>
      <c r="M286">
        <v>469</v>
      </c>
      <c r="N286" t="s">
        <v>167</v>
      </c>
      <c r="O286" t="s">
        <v>782</v>
      </c>
      <c r="P286" t="s">
        <v>834</v>
      </c>
      <c r="Q286">
        <v>0</v>
      </c>
      <c r="R286">
        <v>2.0266500000000001E-3</v>
      </c>
      <c r="S286" t="s">
        <v>1319</v>
      </c>
      <c r="T286" t="s">
        <v>444</v>
      </c>
      <c r="U286" t="s">
        <v>1320</v>
      </c>
      <c r="V286" t="s">
        <v>1358</v>
      </c>
      <c r="W286" t="s">
        <v>1070</v>
      </c>
      <c r="Y286" t="s">
        <v>448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</v>
      </c>
      <c r="EY286">
        <v>1</v>
      </c>
      <c r="EZ286">
        <v>0</v>
      </c>
      <c r="FA286">
        <v>1</v>
      </c>
      <c r="FB286">
        <v>0</v>
      </c>
      <c r="FC286">
        <v>0</v>
      </c>
      <c r="FD286">
        <v>0</v>
      </c>
      <c r="FE286">
        <v>0</v>
      </c>
      <c r="FF286">
        <v>1</v>
      </c>
      <c r="FG286">
        <v>0</v>
      </c>
      <c r="FH286">
        <v>0</v>
      </c>
      <c r="FI286">
        <v>0</v>
      </c>
      <c r="FJ286">
        <v>1</v>
      </c>
    </row>
    <row r="287" spans="1:166" ht="43.2" x14ac:dyDescent="0.3">
      <c r="A287" t="s">
        <v>1071</v>
      </c>
      <c r="B287" t="s">
        <v>1072</v>
      </c>
      <c r="C287" t="s">
        <v>198</v>
      </c>
      <c r="D287">
        <v>2021</v>
      </c>
      <c r="E287" t="s">
        <v>1073</v>
      </c>
      <c r="F287">
        <v>33.886916999999997</v>
      </c>
      <c r="G287">
        <v>9.5374990000000004</v>
      </c>
      <c r="H287" t="s">
        <v>166</v>
      </c>
      <c r="I287">
        <v>470</v>
      </c>
      <c r="J287" t="s">
        <v>166</v>
      </c>
      <c r="K287">
        <v>470</v>
      </c>
      <c r="L287" t="s">
        <v>167</v>
      </c>
      <c r="M287">
        <v>469</v>
      </c>
      <c r="N287" t="s">
        <v>167</v>
      </c>
      <c r="O287" t="s">
        <v>1074</v>
      </c>
      <c r="P287" t="s">
        <v>397</v>
      </c>
      <c r="Q287">
        <v>0</v>
      </c>
      <c r="R287">
        <v>1.28842E-3</v>
      </c>
      <c r="S287" t="s">
        <v>1321</v>
      </c>
      <c r="T287" t="s">
        <v>1323</v>
      </c>
      <c r="V287" s="2" t="s">
        <v>1359</v>
      </c>
      <c r="W287" t="s">
        <v>1075</v>
      </c>
      <c r="Y287" t="s">
        <v>1076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</v>
      </c>
      <c r="EY287">
        <v>1</v>
      </c>
      <c r="EZ287">
        <v>0</v>
      </c>
      <c r="FA287">
        <v>1</v>
      </c>
      <c r="FB287">
        <v>0</v>
      </c>
      <c r="FC287">
        <v>1</v>
      </c>
      <c r="FD287">
        <v>0</v>
      </c>
      <c r="FE287">
        <v>0</v>
      </c>
      <c r="FF287">
        <v>0</v>
      </c>
      <c r="FG287">
        <v>1</v>
      </c>
      <c r="FH287">
        <v>0</v>
      </c>
      <c r="FI287">
        <v>0</v>
      </c>
      <c r="FJ287">
        <v>2</v>
      </c>
    </row>
    <row r="288" spans="1:166" ht="43.2" x14ac:dyDescent="0.3">
      <c r="A288" t="s">
        <v>1077</v>
      </c>
      <c r="B288" t="s">
        <v>1078</v>
      </c>
      <c r="C288" t="s">
        <v>198</v>
      </c>
      <c r="D288">
        <v>2021</v>
      </c>
      <c r="E288" t="s">
        <v>1073</v>
      </c>
      <c r="F288">
        <v>33.886916999999997</v>
      </c>
      <c r="G288">
        <v>9.5374990000000004</v>
      </c>
      <c r="H288" t="s">
        <v>166</v>
      </c>
      <c r="I288">
        <v>470</v>
      </c>
      <c r="J288" t="s">
        <v>166</v>
      </c>
      <c r="K288">
        <v>470</v>
      </c>
      <c r="L288" t="s">
        <v>167</v>
      </c>
      <c r="M288">
        <v>469</v>
      </c>
      <c r="N288" t="s">
        <v>167</v>
      </c>
      <c r="O288" t="s">
        <v>1074</v>
      </c>
      <c r="P288" t="s">
        <v>397</v>
      </c>
      <c r="Q288">
        <v>0</v>
      </c>
      <c r="R288">
        <v>1.28842E-3</v>
      </c>
      <c r="S288" t="s">
        <v>1324</v>
      </c>
      <c r="T288" t="s">
        <v>1323</v>
      </c>
      <c r="V288" s="2" t="s">
        <v>1359</v>
      </c>
      <c r="W288" t="s">
        <v>1075</v>
      </c>
      <c r="Y288" t="s">
        <v>1076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1</v>
      </c>
      <c r="FB288">
        <v>0</v>
      </c>
      <c r="FC288">
        <v>1</v>
      </c>
      <c r="FD288">
        <v>0</v>
      </c>
      <c r="FE288">
        <v>0</v>
      </c>
      <c r="FF288">
        <v>0</v>
      </c>
      <c r="FG288">
        <v>1</v>
      </c>
      <c r="FH288">
        <v>0</v>
      </c>
      <c r="FI288">
        <v>0</v>
      </c>
      <c r="FJ288">
        <v>2</v>
      </c>
    </row>
    <row r="289" spans="1:166" ht="43.2" x14ac:dyDescent="0.3">
      <c r="A289" t="s">
        <v>1079</v>
      </c>
      <c r="B289" t="s">
        <v>1080</v>
      </c>
      <c r="C289" t="s">
        <v>198</v>
      </c>
      <c r="D289">
        <v>2021</v>
      </c>
      <c r="E289" t="s">
        <v>1073</v>
      </c>
      <c r="F289">
        <v>33.886916999999997</v>
      </c>
      <c r="G289">
        <v>9.5374990000000004</v>
      </c>
      <c r="H289" t="s">
        <v>166</v>
      </c>
      <c r="I289">
        <v>470</v>
      </c>
      <c r="J289" t="s">
        <v>166</v>
      </c>
      <c r="K289">
        <v>470</v>
      </c>
      <c r="L289" t="s">
        <v>167</v>
      </c>
      <c r="M289">
        <v>469</v>
      </c>
      <c r="N289" t="s">
        <v>167</v>
      </c>
      <c r="O289" t="s">
        <v>1074</v>
      </c>
      <c r="P289" t="s">
        <v>210</v>
      </c>
      <c r="Q289">
        <v>0</v>
      </c>
      <c r="R289">
        <v>1.2626499999999999E-3</v>
      </c>
      <c r="S289" t="s">
        <v>1325</v>
      </c>
      <c r="T289" t="s">
        <v>444</v>
      </c>
      <c r="V289" s="2" t="s">
        <v>1359</v>
      </c>
      <c r="W289" t="s">
        <v>1075</v>
      </c>
      <c r="Y289" t="s">
        <v>1076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1</v>
      </c>
      <c r="EY289">
        <v>1</v>
      </c>
      <c r="EZ289">
        <v>0</v>
      </c>
      <c r="FA289">
        <v>1</v>
      </c>
      <c r="FB289">
        <v>0</v>
      </c>
      <c r="FC289">
        <v>1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2</v>
      </c>
    </row>
    <row r="290" spans="1:166" ht="43.2" x14ac:dyDescent="0.3">
      <c r="A290" t="s">
        <v>1081</v>
      </c>
      <c r="B290" t="s">
        <v>1082</v>
      </c>
      <c r="C290" t="s">
        <v>198</v>
      </c>
      <c r="D290">
        <v>2021</v>
      </c>
      <c r="E290" t="s">
        <v>1073</v>
      </c>
      <c r="F290">
        <v>33.886916999999997</v>
      </c>
      <c r="G290">
        <v>9.5374990000000004</v>
      </c>
      <c r="H290" t="s">
        <v>166</v>
      </c>
      <c r="I290">
        <v>470</v>
      </c>
      <c r="J290" t="s">
        <v>166</v>
      </c>
      <c r="K290">
        <v>470</v>
      </c>
      <c r="L290" t="s">
        <v>167</v>
      </c>
      <c r="M290">
        <v>469</v>
      </c>
      <c r="N290" t="s">
        <v>167</v>
      </c>
      <c r="O290" t="s">
        <v>1083</v>
      </c>
      <c r="P290" t="s">
        <v>426</v>
      </c>
      <c r="Q290">
        <v>0</v>
      </c>
      <c r="R290">
        <v>1.41786E-3</v>
      </c>
      <c r="S290" t="s">
        <v>1324</v>
      </c>
      <c r="T290" t="s">
        <v>1323</v>
      </c>
      <c r="V290" s="2" t="s">
        <v>1359</v>
      </c>
      <c r="W290" t="s">
        <v>1075</v>
      </c>
      <c r="Y290" t="s">
        <v>1076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1</v>
      </c>
      <c r="EZ290">
        <v>0</v>
      </c>
      <c r="FA290">
        <v>1</v>
      </c>
      <c r="FB290">
        <v>0</v>
      </c>
      <c r="FC290">
        <v>1</v>
      </c>
      <c r="FD290">
        <v>0</v>
      </c>
      <c r="FE290">
        <v>0</v>
      </c>
      <c r="FF290">
        <v>0</v>
      </c>
      <c r="FG290">
        <v>1</v>
      </c>
      <c r="FH290">
        <v>0</v>
      </c>
      <c r="FI290">
        <v>0</v>
      </c>
      <c r="FJ290">
        <v>2</v>
      </c>
    </row>
    <row r="291" spans="1:166" ht="43.2" x14ac:dyDescent="0.3">
      <c r="A291" t="s">
        <v>1084</v>
      </c>
      <c r="B291" t="s">
        <v>1085</v>
      </c>
      <c r="C291" s="1" t="s">
        <v>198</v>
      </c>
      <c r="D291">
        <v>2021</v>
      </c>
      <c r="E291" t="s">
        <v>1073</v>
      </c>
      <c r="F291">
        <v>33.886916999999997</v>
      </c>
      <c r="G291">
        <v>9.5374990000000004</v>
      </c>
      <c r="H291" t="s">
        <v>166</v>
      </c>
      <c r="I291">
        <v>470</v>
      </c>
      <c r="J291" t="s">
        <v>166</v>
      </c>
      <c r="K291">
        <v>470</v>
      </c>
      <c r="L291" t="s">
        <v>167</v>
      </c>
      <c r="M291">
        <v>469</v>
      </c>
      <c r="N291" t="s">
        <v>167</v>
      </c>
      <c r="O291" t="s">
        <v>1086</v>
      </c>
      <c r="P291" t="s">
        <v>674</v>
      </c>
      <c r="Q291">
        <v>0</v>
      </c>
      <c r="R291">
        <v>1.4438700000000001E-3</v>
      </c>
      <c r="S291" t="s">
        <v>1326</v>
      </c>
      <c r="T291" t="s">
        <v>1323</v>
      </c>
      <c r="V291" s="2" t="s">
        <v>1359</v>
      </c>
      <c r="W291" t="s">
        <v>1075</v>
      </c>
      <c r="Y291" t="s">
        <v>1076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2</v>
      </c>
    </row>
    <row r="292" spans="1:166" ht="43.2" x14ac:dyDescent="0.3">
      <c r="A292" t="s">
        <v>1087</v>
      </c>
      <c r="B292" t="s">
        <v>1088</v>
      </c>
      <c r="C292" t="s">
        <v>198</v>
      </c>
      <c r="D292">
        <v>2021</v>
      </c>
      <c r="E292" t="s">
        <v>1073</v>
      </c>
      <c r="F292">
        <v>33.886916999999997</v>
      </c>
      <c r="G292">
        <v>9.5374990000000004</v>
      </c>
      <c r="H292" t="s">
        <v>166</v>
      </c>
      <c r="I292">
        <v>470</v>
      </c>
      <c r="J292" t="s">
        <v>166</v>
      </c>
      <c r="K292">
        <v>470</v>
      </c>
      <c r="L292" t="s">
        <v>167</v>
      </c>
      <c r="M292">
        <v>469</v>
      </c>
      <c r="N292" t="s">
        <v>167</v>
      </c>
      <c r="O292" t="s">
        <v>1086</v>
      </c>
      <c r="P292" t="s">
        <v>1089</v>
      </c>
      <c r="Q292">
        <v>0</v>
      </c>
      <c r="R292">
        <v>1.1088999999999999E-3</v>
      </c>
      <c r="S292" t="s">
        <v>1327</v>
      </c>
      <c r="T292" t="s">
        <v>1323</v>
      </c>
      <c r="V292" s="2" t="s">
        <v>1359</v>
      </c>
      <c r="W292" t="s">
        <v>1075</v>
      </c>
      <c r="Y292" t="s">
        <v>1076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0</v>
      </c>
      <c r="FI292">
        <v>0</v>
      </c>
      <c r="FJ292">
        <v>2</v>
      </c>
    </row>
    <row r="293" spans="1:166" ht="43.2" x14ac:dyDescent="0.3">
      <c r="A293" t="s">
        <v>1090</v>
      </c>
      <c r="B293" t="s">
        <v>1091</v>
      </c>
      <c r="C293" t="s">
        <v>198</v>
      </c>
      <c r="D293">
        <v>2021</v>
      </c>
      <c r="E293" t="s">
        <v>1073</v>
      </c>
      <c r="F293">
        <v>33.886916999999997</v>
      </c>
      <c r="G293">
        <v>9.5374990000000004</v>
      </c>
      <c r="H293" t="s">
        <v>166</v>
      </c>
      <c r="I293">
        <v>470</v>
      </c>
      <c r="J293" t="s">
        <v>166</v>
      </c>
      <c r="K293">
        <v>470</v>
      </c>
      <c r="L293" t="s">
        <v>167</v>
      </c>
      <c r="M293">
        <v>469</v>
      </c>
      <c r="N293" t="s">
        <v>167</v>
      </c>
      <c r="O293" t="s">
        <v>1086</v>
      </c>
      <c r="P293" t="s">
        <v>397</v>
      </c>
      <c r="Q293">
        <v>0</v>
      </c>
      <c r="R293">
        <v>1.28842E-3</v>
      </c>
      <c r="S293" t="s">
        <v>1328</v>
      </c>
      <c r="T293" t="s">
        <v>444</v>
      </c>
      <c r="V293" s="2" t="s">
        <v>1359</v>
      </c>
      <c r="W293" t="s">
        <v>1075</v>
      </c>
      <c r="Y293" t="s">
        <v>1076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</v>
      </c>
      <c r="EY293">
        <v>1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</v>
      </c>
      <c r="FH293">
        <v>0</v>
      </c>
      <c r="FI293">
        <v>0</v>
      </c>
      <c r="FJ293">
        <v>2</v>
      </c>
    </row>
    <row r="294" spans="1:166" ht="43.2" x14ac:dyDescent="0.3">
      <c r="A294" t="s">
        <v>1092</v>
      </c>
      <c r="B294" t="s">
        <v>1093</v>
      </c>
      <c r="C294" t="s">
        <v>198</v>
      </c>
      <c r="D294">
        <v>2021</v>
      </c>
      <c r="E294" t="s">
        <v>1073</v>
      </c>
      <c r="F294">
        <v>33.886916999999997</v>
      </c>
      <c r="G294">
        <v>9.5374990000000004</v>
      </c>
      <c r="H294" t="s">
        <v>166</v>
      </c>
      <c r="I294">
        <v>470</v>
      </c>
      <c r="J294" t="s">
        <v>166</v>
      </c>
      <c r="K294">
        <v>470</v>
      </c>
      <c r="L294" t="s">
        <v>167</v>
      </c>
      <c r="M294">
        <v>469</v>
      </c>
      <c r="N294" t="s">
        <v>167</v>
      </c>
      <c r="O294" t="s">
        <v>1086</v>
      </c>
      <c r="P294" t="s">
        <v>433</v>
      </c>
      <c r="Q294">
        <v>0</v>
      </c>
      <c r="R294">
        <v>1.23693E-3</v>
      </c>
      <c r="S294" t="s">
        <v>1325</v>
      </c>
      <c r="T294" t="s">
        <v>444</v>
      </c>
      <c r="V294" s="2" t="s">
        <v>1359</v>
      </c>
      <c r="W294" t="s">
        <v>1075</v>
      </c>
      <c r="Y294" t="s">
        <v>1076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2</v>
      </c>
    </row>
    <row r="295" spans="1:166" ht="43.2" x14ac:dyDescent="0.3">
      <c r="A295" t="s">
        <v>1094</v>
      </c>
      <c r="B295" t="s">
        <v>1095</v>
      </c>
      <c r="C295" t="s">
        <v>198</v>
      </c>
      <c r="D295">
        <v>2021</v>
      </c>
      <c r="E295" t="s">
        <v>1073</v>
      </c>
      <c r="F295">
        <v>33.886916999999997</v>
      </c>
      <c r="G295">
        <v>9.5374990000000004</v>
      </c>
      <c r="H295" t="s">
        <v>166</v>
      </c>
      <c r="I295">
        <v>470</v>
      </c>
      <c r="J295" t="s">
        <v>166</v>
      </c>
      <c r="K295">
        <v>470</v>
      </c>
      <c r="L295" t="s">
        <v>167</v>
      </c>
      <c r="M295">
        <v>469</v>
      </c>
      <c r="N295" t="s">
        <v>167</v>
      </c>
      <c r="O295" t="s">
        <v>1086</v>
      </c>
      <c r="P295" t="s">
        <v>1089</v>
      </c>
      <c r="Q295">
        <v>0</v>
      </c>
      <c r="R295">
        <v>1.1088999999999999E-3</v>
      </c>
      <c r="S295" t="s">
        <v>1325</v>
      </c>
      <c r="T295" t="s">
        <v>444</v>
      </c>
      <c r="V295" s="2" t="s">
        <v>1359</v>
      </c>
      <c r="W295" t="s">
        <v>1075</v>
      </c>
      <c r="Y295" t="s">
        <v>1076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</v>
      </c>
      <c r="FH295">
        <v>0</v>
      </c>
      <c r="FI295">
        <v>0</v>
      </c>
      <c r="FJ295">
        <v>2</v>
      </c>
    </row>
    <row r="296" spans="1:166" ht="43.2" x14ac:dyDescent="0.3">
      <c r="A296" t="s">
        <v>1096</v>
      </c>
      <c r="B296" t="s">
        <v>1097</v>
      </c>
      <c r="C296" t="s">
        <v>198</v>
      </c>
      <c r="D296">
        <v>2021</v>
      </c>
      <c r="E296" t="s">
        <v>1073</v>
      </c>
      <c r="F296">
        <v>33.886916999999997</v>
      </c>
      <c r="G296">
        <v>9.5374990000000004</v>
      </c>
      <c r="H296" t="s">
        <v>166</v>
      </c>
      <c r="I296">
        <v>470</v>
      </c>
      <c r="J296" t="s">
        <v>166</v>
      </c>
      <c r="K296">
        <v>470</v>
      </c>
      <c r="L296" t="s">
        <v>167</v>
      </c>
      <c r="M296">
        <v>469</v>
      </c>
      <c r="N296" t="s">
        <v>167</v>
      </c>
      <c r="O296" t="s">
        <v>1098</v>
      </c>
      <c r="P296" t="s">
        <v>184</v>
      </c>
      <c r="Q296">
        <v>0</v>
      </c>
      <c r="R296">
        <v>8.3072799999999998E-4</v>
      </c>
      <c r="S296" t="s">
        <v>1326</v>
      </c>
      <c r="T296" t="s">
        <v>1323</v>
      </c>
      <c r="V296" s="2" t="s">
        <v>1359</v>
      </c>
      <c r="W296" t="s">
        <v>1075</v>
      </c>
      <c r="Y296" t="s">
        <v>1076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1</v>
      </c>
      <c r="EZ296">
        <v>0</v>
      </c>
      <c r="FA296">
        <v>0</v>
      </c>
      <c r="FB296">
        <v>0</v>
      </c>
      <c r="FC296">
        <v>0</v>
      </c>
      <c r="FD296">
        <v>1</v>
      </c>
      <c r="FE296">
        <v>1</v>
      </c>
      <c r="FF296">
        <v>0</v>
      </c>
      <c r="FG296">
        <v>0</v>
      </c>
      <c r="FH296">
        <v>0</v>
      </c>
      <c r="FI296">
        <v>0</v>
      </c>
      <c r="FJ296">
        <v>85</v>
      </c>
    </row>
    <row r="297" spans="1:166" ht="43.2" x14ac:dyDescent="0.3">
      <c r="A297" t="s">
        <v>1099</v>
      </c>
      <c r="B297" t="s">
        <v>1100</v>
      </c>
      <c r="C297" t="s">
        <v>198</v>
      </c>
      <c r="D297">
        <v>2021</v>
      </c>
      <c r="E297" t="s">
        <v>1073</v>
      </c>
      <c r="F297">
        <v>33.886916999999997</v>
      </c>
      <c r="G297">
        <v>9.5374990000000004</v>
      </c>
      <c r="H297" t="s">
        <v>166</v>
      </c>
      <c r="I297">
        <v>470</v>
      </c>
      <c r="J297" t="s">
        <v>166</v>
      </c>
      <c r="K297">
        <v>470</v>
      </c>
      <c r="L297" t="s">
        <v>167</v>
      </c>
      <c r="M297">
        <v>469</v>
      </c>
      <c r="N297" t="s">
        <v>167</v>
      </c>
      <c r="O297" t="s">
        <v>1086</v>
      </c>
      <c r="P297" t="s">
        <v>1101</v>
      </c>
      <c r="Q297">
        <v>0</v>
      </c>
      <c r="R297">
        <v>1.1344300000000001E-3</v>
      </c>
      <c r="S297" t="s">
        <v>1325</v>
      </c>
      <c r="T297" t="s">
        <v>444</v>
      </c>
      <c r="V297" s="2" t="s">
        <v>1359</v>
      </c>
      <c r="W297" t="s">
        <v>1075</v>
      </c>
      <c r="Y297" t="s">
        <v>1076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</v>
      </c>
      <c r="FH297">
        <v>0</v>
      </c>
      <c r="FI297">
        <v>0</v>
      </c>
      <c r="FJ297">
        <v>2</v>
      </c>
    </row>
    <row r="298" spans="1:166" ht="43.2" x14ac:dyDescent="0.3">
      <c r="A298" t="s">
        <v>1102</v>
      </c>
      <c r="B298" t="s">
        <v>1103</v>
      </c>
      <c r="C298" t="s">
        <v>198</v>
      </c>
      <c r="D298">
        <v>2021</v>
      </c>
      <c r="E298" t="s">
        <v>1073</v>
      </c>
      <c r="F298">
        <v>33.886916999999997</v>
      </c>
      <c r="G298">
        <v>9.5374990000000004</v>
      </c>
      <c r="H298" t="s">
        <v>166</v>
      </c>
      <c r="I298">
        <v>470</v>
      </c>
      <c r="J298" t="s">
        <v>166</v>
      </c>
      <c r="K298">
        <v>470</v>
      </c>
      <c r="L298" t="s">
        <v>167</v>
      </c>
      <c r="M298">
        <v>469</v>
      </c>
      <c r="N298" t="s">
        <v>167</v>
      </c>
      <c r="O298" t="s">
        <v>1086</v>
      </c>
      <c r="P298" t="s">
        <v>1089</v>
      </c>
      <c r="Q298">
        <v>0</v>
      </c>
      <c r="R298">
        <v>1.1088999999999999E-3</v>
      </c>
      <c r="S298" t="s">
        <v>1325</v>
      </c>
      <c r="T298" t="s">
        <v>444</v>
      </c>
      <c r="V298" s="2" t="s">
        <v>1359</v>
      </c>
      <c r="W298" t="s">
        <v>1075</v>
      </c>
      <c r="Y298" t="s">
        <v>1076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1</v>
      </c>
      <c r="FH298">
        <v>0</v>
      </c>
      <c r="FI298">
        <v>0</v>
      </c>
      <c r="FJ298">
        <v>2</v>
      </c>
    </row>
    <row r="299" spans="1:166" ht="43.2" x14ac:dyDescent="0.3">
      <c r="A299" t="s">
        <v>1104</v>
      </c>
      <c r="B299" t="s">
        <v>1105</v>
      </c>
      <c r="C299" t="s">
        <v>198</v>
      </c>
      <c r="D299">
        <v>2021</v>
      </c>
      <c r="E299" t="s">
        <v>1073</v>
      </c>
      <c r="F299">
        <v>33.886916999999997</v>
      </c>
      <c r="G299">
        <v>9.5374990000000004</v>
      </c>
      <c r="H299" t="s">
        <v>166</v>
      </c>
      <c r="I299">
        <v>470</v>
      </c>
      <c r="J299" t="s">
        <v>166</v>
      </c>
      <c r="K299">
        <v>470</v>
      </c>
      <c r="L299" t="s">
        <v>167</v>
      </c>
      <c r="M299">
        <v>469</v>
      </c>
      <c r="N299" t="s">
        <v>167</v>
      </c>
      <c r="O299" t="s">
        <v>466</v>
      </c>
      <c r="P299" t="s">
        <v>994</v>
      </c>
      <c r="Q299">
        <v>0</v>
      </c>
      <c r="R299">
        <v>1.3400700000000001E-3</v>
      </c>
      <c r="S299" t="s">
        <v>1329</v>
      </c>
      <c r="T299" t="s">
        <v>1323</v>
      </c>
      <c r="V299" s="2" t="s">
        <v>1359</v>
      </c>
      <c r="W299" t="s">
        <v>1075</v>
      </c>
      <c r="Y299" t="s">
        <v>1076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</v>
      </c>
      <c r="FH299">
        <v>0</v>
      </c>
      <c r="FI299">
        <v>0</v>
      </c>
      <c r="FJ299">
        <v>2</v>
      </c>
    </row>
    <row r="300" spans="1:166" ht="43.2" x14ac:dyDescent="0.3">
      <c r="A300" t="s">
        <v>1106</v>
      </c>
      <c r="B300" t="s">
        <v>1107</v>
      </c>
      <c r="C300" t="s">
        <v>198</v>
      </c>
      <c r="D300">
        <v>2021</v>
      </c>
      <c r="E300" t="s">
        <v>1073</v>
      </c>
      <c r="F300">
        <v>33.886916999999997</v>
      </c>
      <c r="G300">
        <v>9.5374990000000004</v>
      </c>
      <c r="H300" t="s">
        <v>166</v>
      </c>
      <c r="I300">
        <v>470</v>
      </c>
      <c r="J300" t="s">
        <v>166</v>
      </c>
      <c r="K300">
        <v>470</v>
      </c>
      <c r="L300" t="s">
        <v>167</v>
      </c>
      <c r="M300">
        <v>469</v>
      </c>
      <c r="N300" t="s">
        <v>167</v>
      </c>
      <c r="O300" t="s">
        <v>1086</v>
      </c>
      <c r="P300" t="s">
        <v>397</v>
      </c>
      <c r="Q300">
        <v>0</v>
      </c>
      <c r="R300">
        <v>1.28842E-3</v>
      </c>
      <c r="S300" t="s">
        <v>1325</v>
      </c>
      <c r="T300" t="s">
        <v>444</v>
      </c>
      <c r="V300" s="2" t="s">
        <v>1359</v>
      </c>
      <c r="W300" t="s">
        <v>1075</v>
      </c>
      <c r="Y300" t="s">
        <v>1076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1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</v>
      </c>
      <c r="FH300">
        <v>0</v>
      </c>
      <c r="FI300">
        <v>0</v>
      </c>
      <c r="FJ300">
        <v>2</v>
      </c>
    </row>
    <row r="301" spans="1:166" ht="43.2" x14ac:dyDescent="0.3">
      <c r="A301" t="s">
        <v>1108</v>
      </c>
      <c r="B301" t="s">
        <v>1109</v>
      </c>
      <c r="C301" t="s">
        <v>198</v>
      </c>
      <c r="D301">
        <v>2021</v>
      </c>
      <c r="E301" t="s">
        <v>1073</v>
      </c>
      <c r="F301">
        <v>33.886916999999997</v>
      </c>
      <c r="G301">
        <v>9.5374990000000004</v>
      </c>
      <c r="H301" t="s">
        <v>166</v>
      </c>
      <c r="I301">
        <v>470</v>
      </c>
      <c r="J301" t="s">
        <v>166</v>
      </c>
      <c r="K301">
        <v>470</v>
      </c>
      <c r="L301" t="s">
        <v>167</v>
      </c>
      <c r="M301">
        <v>469</v>
      </c>
      <c r="N301" t="s">
        <v>167</v>
      </c>
      <c r="O301" t="s">
        <v>1086</v>
      </c>
      <c r="P301" t="s">
        <v>588</v>
      </c>
      <c r="Q301">
        <v>0</v>
      </c>
      <c r="R301">
        <v>1.57453E-3</v>
      </c>
      <c r="S301" t="s">
        <v>1325</v>
      </c>
      <c r="T301" t="s">
        <v>444</v>
      </c>
      <c r="V301" s="2" t="s">
        <v>1359</v>
      </c>
      <c r="W301" t="s">
        <v>1075</v>
      </c>
      <c r="Y301" t="s">
        <v>1076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1</v>
      </c>
      <c r="FH301">
        <v>0</v>
      </c>
      <c r="FI301">
        <v>0</v>
      </c>
      <c r="FJ301">
        <v>2</v>
      </c>
    </row>
    <row r="302" spans="1:166" ht="43.2" x14ac:dyDescent="0.3">
      <c r="A302" t="s">
        <v>1110</v>
      </c>
      <c r="B302" t="s">
        <v>1111</v>
      </c>
      <c r="C302" t="s">
        <v>198</v>
      </c>
      <c r="D302">
        <v>2021</v>
      </c>
      <c r="E302" t="s">
        <v>1073</v>
      </c>
      <c r="F302">
        <v>33.886916999999997</v>
      </c>
      <c r="G302">
        <v>9.5374990000000004</v>
      </c>
      <c r="H302" t="s">
        <v>166</v>
      </c>
      <c r="I302">
        <v>470</v>
      </c>
      <c r="J302" t="s">
        <v>166</v>
      </c>
      <c r="K302">
        <v>470</v>
      </c>
      <c r="L302" t="s">
        <v>167</v>
      </c>
      <c r="M302">
        <v>469</v>
      </c>
      <c r="N302" t="s">
        <v>167</v>
      </c>
      <c r="O302" t="s">
        <v>1086</v>
      </c>
      <c r="P302" t="s">
        <v>1089</v>
      </c>
      <c r="Q302">
        <v>0</v>
      </c>
      <c r="R302">
        <v>1.1088999999999999E-3</v>
      </c>
      <c r="S302" t="s">
        <v>1329</v>
      </c>
      <c r="T302" t="s">
        <v>1323</v>
      </c>
      <c r="V302" s="2" t="s">
        <v>1359</v>
      </c>
      <c r="W302" t="s">
        <v>1075</v>
      </c>
      <c r="Y302" t="s">
        <v>1076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2</v>
      </c>
    </row>
    <row r="303" spans="1:166" ht="43.2" x14ac:dyDescent="0.3">
      <c r="A303" t="s">
        <v>1112</v>
      </c>
      <c r="B303" t="s">
        <v>1113</v>
      </c>
      <c r="C303" t="s">
        <v>198</v>
      </c>
      <c r="D303">
        <v>2021</v>
      </c>
      <c r="E303" t="s">
        <v>1073</v>
      </c>
      <c r="F303">
        <v>33.886916999999997</v>
      </c>
      <c r="G303">
        <v>9.5374990000000004</v>
      </c>
      <c r="H303" t="s">
        <v>166</v>
      </c>
      <c r="I303">
        <v>470</v>
      </c>
      <c r="J303" t="s">
        <v>166</v>
      </c>
      <c r="K303">
        <v>470</v>
      </c>
      <c r="L303" t="s">
        <v>167</v>
      </c>
      <c r="M303">
        <v>469</v>
      </c>
      <c r="N303" t="s">
        <v>167</v>
      </c>
      <c r="O303" t="s">
        <v>1086</v>
      </c>
      <c r="P303" t="s">
        <v>1089</v>
      </c>
      <c r="Q303">
        <v>0</v>
      </c>
      <c r="R303">
        <v>1.1088999999999999E-3</v>
      </c>
      <c r="S303" t="s">
        <v>1327</v>
      </c>
      <c r="T303" t="s">
        <v>1323</v>
      </c>
      <c r="V303" s="2" t="s">
        <v>1359</v>
      </c>
      <c r="W303" t="s">
        <v>1075</v>
      </c>
      <c r="Y303" t="s">
        <v>1076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1</v>
      </c>
      <c r="FH303">
        <v>0</v>
      </c>
      <c r="FI303">
        <v>0</v>
      </c>
      <c r="FJ303">
        <v>2</v>
      </c>
    </row>
    <row r="304" spans="1:166" ht="43.2" x14ac:dyDescent="0.3">
      <c r="A304" t="s">
        <v>1114</v>
      </c>
      <c r="B304" t="s">
        <v>1115</v>
      </c>
      <c r="C304" t="s">
        <v>198</v>
      </c>
      <c r="D304">
        <v>2021</v>
      </c>
      <c r="E304" t="s">
        <v>1073</v>
      </c>
      <c r="F304">
        <v>33.886916999999997</v>
      </c>
      <c r="G304">
        <v>9.5374990000000004</v>
      </c>
      <c r="H304" t="s">
        <v>166</v>
      </c>
      <c r="I304">
        <v>470</v>
      </c>
      <c r="J304" t="s">
        <v>166</v>
      </c>
      <c r="K304">
        <v>470</v>
      </c>
      <c r="L304" t="s">
        <v>167</v>
      </c>
      <c r="M304">
        <v>469</v>
      </c>
      <c r="N304" t="s">
        <v>167</v>
      </c>
      <c r="O304" t="s">
        <v>1086</v>
      </c>
      <c r="P304" t="s">
        <v>1089</v>
      </c>
      <c r="Q304">
        <v>0</v>
      </c>
      <c r="R304">
        <v>1.1088999999999999E-3</v>
      </c>
      <c r="S304" t="s">
        <v>1330</v>
      </c>
      <c r="T304" t="s">
        <v>1323</v>
      </c>
      <c r="V304" s="2" t="s">
        <v>1359</v>
      </c>
      <c r="W304" t="s">
        <v>1075</v>
      </c>
      <c r="Y304" t="s">
        <v>1076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</v>
      </c>
      <c r="FH304">
        <v>0</v>
      </c>
      <c r="FI304">
        <v>0</v>
      </c>
      <c r="FJ304">
        <v>2</v>
      </c>
    </row>
    <row r="305" spans="1:166" ht="43.2" x14ac:dyDescent="0.3">
      <c r="A305" t="s">
        <v>1116</v>
      </c>
      <c r="B305" t="s">
        <v>1117</v>
      </c>
      <c r="C305" t="s">
        <v>198</v>
      </c>
      <c r="D305">
        <v>2021</v>
      </c>
      <c r="E305" t="s">
        <v>1073</v>
      </c>
      <c r="F305">
        <v>33.886916999999997</v>
      </c>
      <c r="G305">
        <v>9.5374990000000004</v>
      </c>
      <c r="H305" t="s">
        <v>166</v>
      </c>
      <c r="I305">
        <v>470</v>
      </c>
      <c r="J305" t="s">
        <v>166</v>
      </c>
      <c r="K305">
        <v>470</v>
      </c>
      <c r="L305" t="s">
        <v>167</v>
      </c>
      <c r="M305">
        <v>469</v>
      </c>
      <c r="N305" t="s">
        <v>167</v>
      </c>
      <c r="O305" t="s">
        <v>1086</v>
      </c>
      <c r="P305" t="s">
        <v>1089</v>
      </c>
      <c r="Q305">
        <v>0</v>
      </c>
      <c r="R305">
        <v>1.1088999999999999E-3</v>
      </c>
      <c r="S305" t="s">
        <v>1331</v>
      </c>
      <c r="T305" t="s">
        <v>444</v>
      </c>
      <c r="V305" s="2" t="s">
        <v>1359</v>
      </c>
      <c r="W305" t="s">
        <v>1075</v>
      </c>
      <c r="Y305" t="s">
        <v>1076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1</v>
      </c>
      <c r="FH305">
        <v>0</v>
      </c>
      <c r="FI305">
        <v>0</v>
      </c>
      <c r="FJ305">
        <v>2</v>
      </c>
    </row>
    <row r="306" spans="1:166" ht="43.2" x14ac:dyDescent="0.3">
      <c r="A306" t="s">
        <v>1118</v>
      </c>
      <c r="B306" t="s">
        <v>1119</v>
      </c>
      <c r="C306" t="s">
        <v>198</v>
      </c>
      <c r="D306">
        <v>2021</v>
      </c>
      <c r="E306" t="s">
        <v>1073</v>
      </c>
      <c r="F306">
        <v>33.886916999999997</v>
      </c>
      <c r="G306">
        <v>9.5374990000000004</v>
      </c>
      <c r="H306" t="s">
        <v>166</v>
      </c>
      <c r="I306">
        <v>470</v>
      </c>
      <c r="J306" t="s">
        <v>166</v>
      </c>
      <c r="K306">
        <v>470</v>
      </c>
      <c r="L306" t="s">
        <v>167</v>
      </c>
      <c r="M306">
        <v>469</v>
      </c>
      <c r="N306" t="s">
        <v>167</v>
      </c>
      <c r="O306" t="s">
        <v>466</v>
      </c>
      <c r="P306" t="s">
        <v>1120</v>
      </c>
      <c r="Q306">
        <v>0</v>
      </c>
      <c r="R306">
        <v>2.20623E-2</v>
      </c>
      <c r="S306" t="s">
        <v>1325</v>
      </c>
      <c r="T306" t="s">
        <v>444</v>
      </c>
      <c r="V306" s="2" t="s">
        <v>1359</v>
      </c>
      <c r="W306" t="s">
        <v>1075</v>
      </c>
      <c r="Y306" t="s">
        <v>1076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1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2</v>
      </c>
    </row>
    <row r="307" spans="1:166" ht="43.2" x14ac:dyDescent="0.3">
      <c r="A307" t="s">
        <v>1121</v>
      </c>
      <c r="B307" t="s">
        <v>1122</v>
      </c>
      <c r="C307" t="s">
        <v>198</v>
      </c>
      <c r="D307">
        <v>2021</v>
      </c>
      <c r="E307" t="s">
        <v>1073</v>
      </c>
      <c r="F307">
        <v>33.886916999999997</v>
      </c>
      <c r="G307">
        <v>9.5374990000000004</v>
      </c>
      <c r="H307" t="s">
        <v>166</v>
      </c>
      <c r="I307">
        <v>470</v>
      </c>
      <c r="J307" t="s">
        <v>166</v>
      </c>
      <c r="K307">
        <v>470</v>
      </c>
      <c r="L307" t="s">
        <v>167</v>
      </c>
      <c r="M307">
        <v>469</v>
      </c>
      <c r="N307" t="s">
        <v>167</v>
      </c>
      <c r="O307" t="s">
        <v>1123</v>
      </c>
      <c r="P307" t="s">
        <v>471</v>
      </c>
      <c r="Q307">
        <v>0</v>
      </c>
      <c r="R307">
        <v>3.36872E-4</v>
      </c>
      <c r="S307" t="s">
        <v>1325</v>
      </c>
      <c r="T307" t="s">
        <v>444</v>
      </c>
      <c r="V307" s="2" t="s">
        <v>1359</v>
      </c>
      <c r="W307" t="s">
        <v>1075</v>
      </c>
      <c r="Y307" t="s">
        <v>1076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1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1</v>
      </c>
      <c r="EY307">
        <v>1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1</v>
      </c>
      <c r="FF307">
        <v>0</v>
      </c>
      <c r="FG307">
        <v>0</v>
      </c>
      <c r="FH307">
        <v>0</v>
      </c>
      <c r="FI307">
        <v>0</v>
      </c>
      <c r="FJ307">
        <v>85</v>
      </c>
    </row>
    <row r="308" spans="1:166" ht="43.2" x14ac:dyDescent="0.3">
      <c r="A308" t="s">
        <v>1124</v>
      </c>
      <c r="B308" t="s">
        <v>1125</v>
      </c>
      <c r="C308" t="s">
        <v>198</v>
      </c>
      <c r="D308">
        <v>2021</v>
      </c>
      <c r="E308" t="s">
        <v>1073</v>
      </c>
      <c r="F308">
        <v>33.886916999999997</v>
      </c>
      <c r="G308">
        <v>9.5374990000000004</v>
      </c>
      <c r="H308" t="s">
        <v>166</v>
      </c>
      <c r="I308">
        <v>470</v>
      </c>
      <c r="J308" t="s">
        <v>166</v>
      </c>
      <c r="K308">
        <v>470</v>
      </c>
      <c r="L308" t="s">
        <v>167</v>
      </c>
      <c r="M308">
        <v>469</v>
      </c>
      <c r="N308" t="s">
        <v>167</v>
      </c>
      <c r="O308" t="s">
        <v>1086</v>
      </c>
      <c r="P308" t="s">
        <v>972</v>
      </c>
      <c r="Q308">
        <v>0</v>
      </c>
      <c r="R308">
        <v>1.46992E-3</v>
      </c>
      <c r="S308" t="s">
        <v>1325</v>
      </c>
      <c r="T308" t="s">
        <v>444</v>
      </c>
      <c r="V308" s="2" t="s">
        <v>1359</v>
      </c>
      <c r="W308" t="s">
        <v>1075</v>
      </c>
      <c r="Y308" t="s">
        <v>1076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1</v>
      </c>
      <c r="FH308">
        <v>0</v>
      </c>
      <c r="FI308">
        <v>0</v>
      </c>
      <c r="FJ308">
        <v>2</v>
      </c>
    </row>
    <row r="309" spans="1:166" ht="43.2" x14ac:dyDescent="0.3">
      <c r="A309" t="s">
        <v>1126</v>
      </c>
      <c r="B309" t="s">
        <v>1127</v>
      </c>
      <c r="C309" t="s">
        <v>198</v>
      </c>
      <c r="D309">
        <v>2021</v>
      </c>
      <c r="E309" t="s">
        <v>1073</v>
      </c>
      <c r="F309">
        <v>33.886916999999997</v>
      </c>
      <c r="G309">
        <v>9.5374990000000004</v>
      </c>
      <c r="H309" t="s">
        <v>166</v>
      </c>
      <c r="I309">
        <v>470</v>
      </c>
      <c r="J309" t="s">
        <v>166</v>
      </c>
      <c r="K309">
        <v>470</v>
      </c>
      <c r="L309" t="s">
        <v>167</v>
      </c>
      <c r="M309">
        <v>469</v>
      </c>
      <c r="N309" t="s">
        <v>167</v>
      </c>
      <c r="O309" t="s">
        <v>1086</v>
      </c>
      <c r="P309" t="s">
        <v>1089</v>
      </c>
      <c r="Q309">
        <v>0</v>
      </c>
      <c r="R309">
        <v>1.1088999999999999E-3</v>
      </c>
      <c r="S309" t="s">
        <v>1325</v>
      </c>
      <c r="T309" t="s">
        <v>444</v>
      </c>
      <c r="V309" s="2" t="s">
        <v>1359</v>
      </c>
      <c r="W309" t="s">
        <v>1075</v>
      </c>
      <c r="Y309" t="s">
        <v>1076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1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1</v>
      </c>
      <c r="FH309">
        <v>0</v>
      </c>
      <c r="FI309">
        <v>0</v>
      </c>
      <c r="FJ309">
        <v>2</v>
      </c>
    </row>
    <row r="310" spans="1:166" ht="43.2" x14ac:dyDescent="0.3">
      <c r="A310" t="s">
        <v>1128</v>
      </c>
      <c r="B310" t="s">
        <v>1129</v>
      </c>
      <c r="C310" t="s">
        <v>198</v>
      </c>
      <c r="D310">
        <v>2021</v>
      </c>
      <c r="E310" t="s">
        <v>1073</v>
      </c>
      <c r="F310">
        <v>33.886916999999997</v>
      </c>
      <c r="G310">
        <v>9.5374990000000004</v>
      </c>
      <c r="H310" t="s">
        <v>166</v>
      </c>
      <c r="I310">
        <v>470</v>
      </c>
      <c r="J310" t="s">
        <v>166</v>
      </c>
      <c r="K310">
        <v>470</v>
      </c>
      <c r="L310" t="s">
        <v>167</v>
      </c>
      <c r="M310">
        <v>469</v>
      </c>
      <c r="N310" t="s">
        <v>167</v>
      </c>
      <c r="O310" t="s">
        <v>1086</v>
      </c>
      <c r="P310" t="s">
        <v>1089</v>
      </c>
      <c r="Q310">
        <v>0</v>
      </c>
      <c r="R310">
        <v>1.1088999999999999E-3</v>
      </c>
      <c r="S310" t="s">
        <v>1325</v>
      </c>
      <c r="T310" t="s">
        <v>444</v>
      </c>
      <c r="V310" s="2" t="s">
        <v>1359</v>
      </c>
      <c r="W310" t="s">
        <v>1075</v>
      </c>
      <c r="Y310" t="s">
        <v>1076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</v>
      </c>
      <c r="FH310">
        <v>0</v>
      </c>
      <c r="FI310">
        <v>0</v>
      </c>
      <c r="FJ310">
        <v>2</v>
      </c>
    </row>
    <row r="311" spans="1:166" ht="43.2" x14ac:dyDescent="0.3">
      <c r="A311" t="s">
        <v>1130</v>
      </c>
      <c r="B311" t="s">
        <v>1131</v>
      </c>
      <c r="C311" t="s">
        <v>198</v>
      </c>
      <c r="D311">
        <v>2021</v>
      </c>
      <c r="E311" t="s">
        <v>1073</v>
      </c>
      <c r="F311">
        <v>33.886916999999997</v>
      </c>
      <c r="G311">
        <v>9.5374990000000004</v>
      </c>
      <c r="H311" t="s">
        <v>166</v>
      </c>
      <c r="I311">
        <v>470</v>
      </c>
      <c r="J311" t="s">
        <v>166</v>
      </c>
      <c r="K311">
        <v>470</v>
      </c>
      <c r="L311" t="s">
        <v>167</v>
      </c>
      <c r="M311">
        <v>469</v>
      </c>
      <c r="N311" t="s">
        <v>167</v>
      </c>
      <c r="O311" t="s">
        <v>1086</v>
      </c>
      <c r="P311" t="s">
        <v>743</v>
      </c>
      <c r="Q311">
        <v>0</v>
      </c>
      <c r="R311">
        <v>1.36596E-3</v>
      </c>
      <c r="S311" t="s">
        <v>1325</v>
      </c>
      <c r="T311" t="s">
        <v>444</v>
      </c>
      <c r="V311" s="2" t="s">
        <v>1359</v>
      </c>
      <c r="W311" t="s">
        <v>1075</v>
      </c>
      <c r="Y311" t="s">
        <v>1076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2</v>
      </c>
    </row>
    <row r="312" spans="1:166" ht="43.2" x14ac:dyDescent="0.3">
      <c r="A312" t="s">
        <v>1132</v>
      </c>
      <c r="B312" t="s">
        <v>1133</v>
      </c>
      <c r="C312" t="s">
        <v>198</v>
      </c>
      <c r="D312">
        <v>2021</v>
      </c>
      <c r="E312" t="s">
        <v>1073</v>
      </c>
      <c r="F312">
        <v>33.886916999999997</v>
      </c>
      <c r="G312">
        <v>9.5374990000000004</v>
      </c>
      <c r="H312" t="s">
        <v>166</v>
      </c>
      <c r="I312">
        <v>470</v>
      </c>
      <c r="J312" t="s">
        <v>166</v>
      </c>
      <c r="K312">
        <v>470</v>
      </c>
      <c r="L312" t="s">
        <v>167</v>
      </c>
      <c r="M312">
        <v>469</v>
      </c>
      <c r="N312" t="s">
        <v>167</v>
      </c>
      <c r="O312" t="s">
        <v>1086</v>
      </c>
      <c r="P312" t="s">
        <v>1089</v>
      </c>
      <c r="Q312">
        <v>0</v>
      </c>
      <c r="R312">
        <v>1.1088999999999999E-3</v>
      </c>
      <c r="S312" t="s">
        <v>1324</v>
      </c>
      <c r="T312" t="s">
        <v>1323</v>
      </c>
      <c r="V312" s="2" t="s">
        <v>1359</v>
      </c>
      <c r="W312" t="s">
        <v>1075</v>
      </c>
      <c r="Y312" t="s">
        <v>1076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</v>
      </c>
      <c r="FH312">
        <v>0</v>
      </c>
      <c r="FI312">
        <v>0</v>
      </c>
      <c r="FJ312">
        <v>2</v>
      </c>
    </row>
    <row r="313" spans="1:166" ht="43.2" x14ac:dyDescent="0.3">
      <c r="A313" t="s">
        <v>1134</v>
      </c>
      <c r="B313" t="s">
        <v>1135</v>
      </c>
      <c r="C313" t="s">
        <v>198</v>
      </c>
      <c r="D313">
        <v>2021</v>
      </c>
      <c r="E313" t="s">
        <v>1073</v>
      </c>
      <c r="F313">
        <v>33.886916999999997</v>
      </c>
      <c r="G313">
        <v>9.5374990000000004</v>
      </c>
      <c r="H313" t="s">
        <v>166</v>
      </c>
      <c r="I313">
        <v>470</v>
      </c>
      <c r="J313" t="s">
        <v>166</v>
      </c>
      <c r="K313">
        <v>470</v>
      </c>
      <c r="L313" t="s">
        <v>167</v>
      </c>
      <c r="M313">
        <v>469</v>
      </c>
      <c r="N313" t="s">
        <v>167</v>
      </c>
      <c r="O313" t="s">
        <v>1086</v>
      </c>
      <c r="P313" t="s">
        <v>1089</v>
      </c>
      <c r="Q313">
        <v>0</v>
      </c>
      <c r="R313">
        <v>1.1088999999999999E-3</v>
      </c>
      <c r="S313" t="s">
        <v>1325</v>
      </c>
      <c r="T313" t="s">
        <v>444</v>
      </c>
      <c r="V313" s="2" t="s">
        <v>1359</v>
      </c>
      <c r="W313" t="s">
        <v>1075</v>
      </c>
      <c r="Y313" t="s">
        <v>1076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2</v>
      </c>
    </row>
    <row r="314" spans="1:166" ht="43.2" x14ac:dyDescent="0.3">
      <c r="A314" t="s">
        <v>1136</v>
      </c>
      <c r="B314" t="s">
        <v>1137</v>
      </c>
      <c r="C314" t="s">
        <v>198</v>
      </c>
      <c r="D314">
        <v>2021</v>
      </c>
      <c r="E314" t="s">
        <v>1073</v>
      </c>
      <c r="F314">
        <v>33.886916999999997</v>
      </c>
      <c r="G314">
        <v>9.5374990000000004</v>
      </c>
      <c r="H314" t="s">
        <v>166</v>
      </c>
      <c r="I314">
        <v>470</v>
      </c>
      <c r="J314" t="s">
        <v>166</v>
      </c>
      <c r="K314">
        <v>470</v>
      </c>
      <c r="L314" t="s">
        <v>167</v>
      </c>
      <c r="M314">
        <v>469</v>
      </c>
      <c r="N314" t="s">
        <v>167</v>
      </c>
      <c r="O314" t="s">
        <v>1086</v>
      </c>
      <c r="P314" t="s">
        <v>1089</v>
      </c>
      <c r="Q314">
        <v>0</v>
      </c>
      <c r="R314">
        <v>1.1088999999999999E-3</v>
      </c>
      <c r="S314" t="s">
        <v>1332</v>
      </c>
      <c r="T314" t="s">
        <v>1323</v>
      </c>
      <c r="V314" s="2" t="s">
        <v>1359</v>
      </c>
      <c r="W314" t="s">
        <v>1075</v>
      </c>
      <c r="Y314" t="s">
        <v>1076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</v>
      </c>
      <c r="FH314">
        <v>0</v>
      </c>
      <c r="FI314">
        <v>0</v>
      </c>
      <c r="FJ314">
        <v>2</v>
      </c>
    </row>
    <row r="315" spans="1:166" ht="43.2" x14ac:dyDescent="0.3">
      <c r="A315" t="s">
        <v>1138</v>
      </c>
      <c r="B315" t="s">
        <v>1139</v>
      </c>
      <c r="C315" t="s">
        <v>198</v>
      </c>
      <c r="D315">
        <v>2021</v>
      </c>
      <c r="E315" t="s">
        <v>1073</v>
      </c>
      <c r="F315">
        <v>33.886916999999997</v>
      </c>
      <c r="G315">
        <v>9.5374990000000004</v>
      </c>
      <c r="H315" t="s">
        <v>166</v>
      </c>
      <c r="I315">
        <v>470</v>
      </c>
      <c r="J315" t="s">
        <v>166</v>
      </c>
      <c r="K315">
        <v>470</v>
      </c>
      <c r="L315" t="s">
        <v>167</v>
      </c>
      <c r="M315">
        <v>469</v>
      </c>
      <c r="N315" t="s">
        <v>167</v>
      </c>
      <c r="O315" t="s">
        <v>1086</v>
      </c>
      <c r="P315" t="s">
        <v>994</v>
      </c>
      <c r="Q315">
        <v>0</v>
      </c>
      <c r="R315">
        <v>1.3400700000000001E-3</v>
      </c>
      <c r="S315" t="s">
        <v>1331</v>
      </c>
      <c r="T315" t="s">
        <v>444</v>
      </c>
      <c r="V315" s="2" t="s">
        <v>1359</v>
      </c>
      <c r="W315" t="s">
        <v>1075</v>
      </c>
      <c r="Y315" t="s">
        <v>1076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</v>
      </c>
      <c r="FH315">
        <v>0</v>
      </c>
      <c r="FI315">
        <v>0</v>
      </c>
      <c r="FJ315">
        <v>2</v>
      </c>
    </row>
    <row r="316" spans="1:166" ht="43.2" x14ac:dyDescent="0.3">
      <c r="A316" t="s">
        <v>1140</v>
      </c>
      <c r="B316" t="s">
        <v>1141</v>
      </c>
      <c r="C316" t="s">
        <v>198</v>
      </c>
      <c r="D316">
        <v>2021</v>
      </c>
      <c r="E316" t="s">
        <v>1073</v>
      </c>
      <c r="F316">
        <v>33.886916999999997</v>
      </c>
      <c r="G316">
        <v>9.5374990000000004</v>
      </c>
      <c r="H316" t="s">
        <v>166</v>
      </c>
      <c r="I316">
        <v>470</v>
      </c>
      <c r="J316" t="s">
        <v>166</v>
      </c>
      <c r="K316">
        <v>470</v>
      </c>
      <c r="L316" t="s">
        <v>167</v>
      </c>
      <c r="M316">
        <v>469</v>
      </c>
      <c r="N316" t="s">
        <v>167</v>
      </c>
      <c r="O316" t="s">
        <v>1086</v>
      </c>
      <c r="P316" t="s">
        <v>1089</v>
      </c>
      <c r="Q316">
        <v>0</v>
      </c>
      <c r="R316">
        <v>1.1088999999999999E-3</v>
      </c>
      <c r="S316" t="s">
        <v>1328</v>
      </c>
      <c r="T316" t="s">
        <v>444</v>
      </c>
      <c r="V316" s="2" t="s">
        <v>1359</v>
      </c>
      <c r="W316" t="s">
        <v>1075</v>
      </c>
      <c r="Y316" t="s">
        <v>1076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1</v>
      </c>
      <c r="FH316">
        <v>0</v>
      </c>
      <c r="FI316">
        <v>0</v>
      </c>
      <c r="FJ316">
        <v>2</v>
      </c>
    </row>
    <row r="317" spans="1:166" ht="43.2" x14ac:dyDescent="0.3">
      <c r="A317" t="s">
        <v>1142</v>
      </c>
      <c r="B317" t="s">
        <v>1143</v>
      </c>
      <c r="C317" t="s">
        <v>198</v>
      </c>
      <c r="D317">
        <v>2021</v>
      </c>
      <c r="E317" t="s">
        <v>1073</v>
      </c>
      <c r="F317">
        <v>33.886916999999997</v>
      </c>
      <c r="G317">
        <v>9.5374990000000004</v>
      </c>
      <c r="H317" t="s">
        <v>166</v>
      </c>
      <c r="I317">
        <v>470</v>
      </c>
      <c r="J317" t="s">
        <v>166</v>
      </c>
      <c r="K317">
        <v>470</v>
      </c>
      <c r="L317" t="s">
        <v>167</v>
      </c>
      <c r="M317">
        <v>469</v>
      </c>
      <c r="N317" t="s">
        <v>167</v>
      </c>
      <c r="O317" t="s">
        <v>1086</v>
      </c>
      <c r="P317" t="s">
        <v>1089</v>
      </c>
      <c r="Q317">
        <v>0</v>
      </c>
      <c r="R317">
        <v>1.1088999999999999E-3</v>
      </c>
      <c r="S317" t="s">
        <v>1328</v>
      </c>
      <c r="T317" t="s">
        <v>444</v>
      </c>
      <c r="V317" s="2" t="s">
        <v>1359</v>
      </c>
      <c r="W317" t="s">
        <v>1075</v>
      </c>
      <c r="Y317" t="s">
        <v>1076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2</v>
      </c>
    </row>
    <row r="318" spans="1:166" ht="43.2" x14ac:dyDescent="0.3">
      <c r="A318" t="s">
        <v>1144</v>
      </c>
      <c r="B318" t="s">
        <v>1145</v>
      </c>
      <c r="C318" t="s">
        <v>198</v>
      </c>
      <c r="D318">
        <v>2021</v>
      </c>
      <c r="E318" t="s">
        <v>1073</v>
      </c>
      <c r="F318">
        <v>33.886916999999997</v>
      </c>
      <c r="G318">
        <v>9.5374990000000004</v>
      </c>
      <c r="H318" t="s">
        <v>166</v>
      </c>
      <c r="I318">
        <v>470</v>
      </c>
      <c r="J318" t="s">
        <v>166</v>
      </c>
      <c r="K318">
        <v>470</v>
      </c>
      <c r="L318" t="s">
        <v>167</v>
      </c>
      <c r="M318">
        <v>469</v>
      </c>
      <c r="N318" t="s">
        <v>167</v>
      </c>
      <c r="O318" t="s">
        <v>1123</v>
      </c>
      <c r="P318" t="s">
        <v>611</v>
      </c>
      <c r="Q318">
        <v>0</v>
      </c>
      <c r="R318">
        <v>4.8344600000000001E-4</v>
      </c>
      <c r="S318" t="s">
        <v>1333</v>
      </c>
      <c r="T318" t="s">
        <v>1323</v>
      </c>
      <c r="V318" s="2" t="s">
        <v>1359</v>
      </c>
      <c r="W318" t="s">
        <v>1075</v>
      </c>
      <c r="Y318" t="s">
        <v>1076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1</v>
      </c>
      <c r="FE318">
        <v>1</v>
      </c>
      <c r="FF318">
        <v>0</v>
      </c>
      <c r="FG318">
        <v>0</v>
      </c>
      <c r="FH318">
        <v>0</v>
      </c>
      <c r="FI318">
        <v>0</v>
      </c>
      <c r="FJ318">
        <v>85</v>
      </c>
    </row>
    <row r="319" spans="1:166" ht="43.2" x14ac:dyDescent="0.3">
      <c r="A319" t="s">
        <v>1146</v>
      </c>
      <c r="B319" t="s">
        <v>1147</v>
      </c>
      <c r="C319" t="s">
        <v>198</v>
      </c>
      <c r="D319">
        <v>2021</v>
      </c>
      <c r="E319" t="s">
        <v>1073</v>
      </c>
      <c r="F319">
        <v>33.886916999999997</v>
      </c>
      <c r="G319">
        <v>9.5374990000000004</v>
      </c>
      <c r="H319" t="s">
        <v>166</v>
      </c>
      <c r="I319">
        <v>470</v>
      </c>
      <c r="J319" t="s">
        <v>166</v>
      </c>
      <c r="K319">
        <v>470</v>
      </c>
      <c r="L319" t="s">
        <v>167</v>
      </c>
      <c r="M319">
        <v>469</v>
      </c>
      <c r="N319" t="s">
        <v>167</v>
      </c>
      <c r="O319" t="s">
        <v>1086</v>
      </c>
      <c r="P319" t="s">
        <v>1089</v>
      </c>
      <c r="Q319">
        <v>0</v>
      </c>
      <c r="R319">
        <v>1.1088999999999999E-3</v>
      </c>
      <c r="S319" t="s">
        <v>1328</v>
      </c>
      <c r="T319" t="s">
        <v>444</v>
      </c>
      <c r="V319" s="2" t="s">
        <v>1359</v>
      </c>
      <c r="W319" t="s">
        <v>1075</v>
      </c>
      <c r="Y319" t="s">
        <v>1076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2</v>
      </c>
    </row>
    <row r="320" spans="1:166" ht="43.2" x14ac:dyDescent="0.3">
      <c r="A320" t="s">
        <v>1148</v>
      </c>
      <c r="B320" t="s">
        <v>1149</v>
      </c>
      <c r="C320" t="s">
        <v>198</v>
      </c>
      <c r="D320">
        <v>2021</v>
      </c>
      <c r="E320" t="s">
        <v>1073</v>
      </c>
      <c r="F320">
        <v>33.886916999999997</v>
      </c>
      <c r="G320">
        <v>9.5374990000000004</v>
      </c>
      <c r="H320" t="s">
        <v>166</v>
      </c>
      <c r="I320">
        <v>470</v>
      </c>
      <c r="J320" t="s">
        <v>166</v>
      </c>
      <c r="K320">
        <v>470</v>
      </c>
      <c r="L320" t="s">
        <v>167</v>
      </c>
      <c r="M320">
        <v>469</v>
      </c>
      <c r="N320" t="s">
        <v>167</v>
      </c>
      <c r="O320" t="s">
        <v>1086</v>
      </c>
      <c r="P320" t="s">
        <v>743</v>
      </c>
      <c r="Q320">
        <v>0</v>
      </c>
      <c r="R320">
        <v>1.36596E-3</v>
      </c>
      <c r="S320" t="s">
        <v>1329</v>
      </c>
      <c r="T320" t="s">
        <v>1323</v>
      </c>
      <c r="V320" s="2" t="s">
        <v>1359</v>
      </c>
      <c r="W320" t="s">
        <v>1075</v>
      </c>
      <c r="Y320" t="s">
        <v>1076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1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1</v>
      </c>
      <c r="FH320">
        <v>0</v>
      </c>
      <c r="FI320">
        <v>0</v>
      </c>
      <c r="FJ320">
        <v>2</v>
      </c>
    </row>
    <row r="321" spans="1:166" ht="43.2" x14ac:dyDescent="0.3">
      <c r="A321" t="s">
        <v>1150</v>
      </c>
      <c r="B321" t="s">
        <v>1151</v>
      </c>
      <c r="C321" t="s">
        <v>198</v>
      </c>
      <c r="D321">
        <v>2021</v>
      </c>
      <c r="E321" t="s">
        <v>1073</v>
      </c>
      <c r="F321">
        <v>33.886916999999997</v>
      </c>
      <c r="G321">
        <v>9.5374990000000004</v>
      </c>
      <c r="H321" t="s">
        <v>166</v>
      </c>
      <c r="I321">
        <v>470</v>
      </c>
      <c r="J321" t="s">
        <v>166</v>
      </c>
      <c r="K321">
        <v>470</v>
      </c>
      <c r="L321" t="s">
        <v>167</v>
      </c>
      <c r="M321">
        <v>469</v>
      </c>
      <c r="N321" t="s">
        <v>167</v>
      </c>
      <c r="O321" t="s">
        <v>1086</v>
      </c>
      <c r="P321" t="s">
        <v>1089</v>
      </c>
      <c r="Q321">
        <v>0</v>
      </c>
      <c r="R321">
        <v>1.1088999999999999E-3</v>
      </c>
      <c r="S321" t="s">
        <v>1328</v>
      </c>
      <c r="T321" t="s">
        <v>444</v>
      </c>
      <c r="V321" s="2" t="s">
        <v>1359</v>
      </c>
      <c r="W321" t="s">
        <v>1075</v>
      </c>
      <c r="Y321" t="s">
        <v>1076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</v>
      </c>
      <c r="FH321">
        <v>0</v>
      </c>
      <c r="FI321">
        <v>0</v>
      </c>
      <c r="FJ321">
        <v>2</v>
      </c>
    </row>
    <row r="322" spans="1:166" ht="43.2" x14ac:dyDescent="0.3">
      <c r="A322" t="s">
        <v>1152</v>
      </c>
      <c r="B322" t="s">
        <v>1153</v>
      </c>
      <c r="C322" t="s">
        <v>198</v>
      </c>
      <c r="D322">
        <v>2021</v>
      </c>
      <c r="E322" t="s">
        <v>1073</v>
      </c>
      <c r="F322">
        <v>33.886916999999997</v>
      </c>
      <c r="G322">
        <v>9.5374990000000004</v>
      </c>
      <c r="H322" t="s">
        <v>166</v>
      </c>
      <c r="I322">
        <v>470</v>
      </c>
      <c r="J322" t="s">
        <v>166</v>
      </c>
      <c r="K322">
        <v>470</v>
      </c>
      <c r="L322" t="s">
        <v>167</v>
      </c>
      <c r="M322">
        <v>469</v>
      </c>
      <c r="N322" t="s">
        <v>167</v>
      </c>
      <c r="O322" t="s">
        <v>1086</v>
      </c>
      <c r="P322" t="s">
        <v>972</v>
      </c>
      <c r="Q322">
        <v>0</v>
      </c>
      <c r="R322">
        <v>1.46992E-3</v>
      </c>
      <c r="S322" t="s">
        <v>1334</v>
      </c>
      <c r="T322" t="s">
        <v>1323</v>
      </c>
      <c r="V322" s="2" t="s">
        <v>1359</v>
      </c>
      <c r="W322" t="s">
        <v>1075</v>
      </c>
      <c r="Y322" t="s">
        <v>1076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</v>
      </c>
      <c r="FH322">
        <v>0</v>
      </c>
      <c r="FI322">
        <v>0</v>
      </c>
      <c r="FJ322">
        <v>2</v>
      </c>
    </row>
    <row r="323" spans="1:166" ht="43.2" x14ac:dyDescent="0.3">
      <c r="A323" t="s">
        <v>1154</v>
      </c>
      <c r="B323" t="s">
        <v>1155</v>
      </c>
      <c r="C323" t="s">
        <v>198</v>
      </c>
      <c r="D323">
        <v>2021</v>
      </c>
      <c r="E323" t="s">
        <v>1073</v>
      </c>
      <c r="F323">
        <v>33.886916999999997</v>
      </c>
      <c r="G323">
        <v>9.5374990000000004</v>
      </c>
      <c r="H323" t="s">
        <v>166</v>
      </c>
      <c r="I323">
        <v>470</v>
      </c>
      <c r="J323" t="s">
        <v>166</v>
      </c>
      <c r="K323">
        <v>470</v>
      </c>
      <c r="L323" t="s">
        <v>167</v>
      </c>
      <c r="M323">
        <v>469</v>
      </c>
      <c r="N323" t="s">
        <v>167</v>
      </c>
      <c r="O323" t="s">
        <v>1086</v>
      </c>
      <c r="P323" t="s">
        <v>175</v>
      </c>
      <c r="Q323">
        <v>0</v>
      </c>
      <c r="R323">
        <v>1.0834200000000001E-3</v>
      </c>
      <c r="S323" t="s">
        <v>1335</v>
      </c>
      <c r="T323" t="s">
        <v>1323</v>
      </c>
      <c r="V323" s="2" t="s">
        <v>1359</v>
      </c>
      <c r="W323" t="s">
        <v>1075</v>
      </c>
      <c r="Y323" t="s">
        <v>1076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1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</v>
      </c>
      <c r="FH323">
        <v>0</v>
      </c>
      <c r="FI323">
        <v>0</v>
      </c>
      <c r="FJ323">
        <v>2</v>
      </c>
    </row>
    <row r="324" spans="1:166" ht="43.2" x14ac:dyDescent="0.3">
      <c r="A324" t="s">
        <v>1156</v>
      </c>
      <c r="B324" t="s">
        <v>1157</v>
      </c>
      <c r="C324" t="s">
        <v>198</v>
      </c>
      <c r="D324">
        <v>2021</v>
      </c>
      <c r="E324" t="s">
        <v>1073</v>
      </c>
      <c r="F324">
        <v>33.886916999999997</v>
      </c>
      <c r="G324">
        <v>9.5374990000000004</v>
      </c>
      <c r="H324" t="s">
        <v>166</v>
      </c>
      <c r="I324">
        <v>470</v>
      </c>
      <c r="J324" t="s">
        <v>166</v>
      </c>
      <c r="K324">
        <v>470</v>
      </c>
      <c r="L324" t="s">
        <v>167</v>
      </c>
      <c r="M324">
        <v>469</v>
      </c>
      <c r="N324" t="s">
        <v>167</v>
      </c>
      <c r="O324" t="s">
        <v>1158</v>
      </c>
      <c r="P324" t="s">
        <v>939</v>
      </c>
      <c r="Q324">
        <v>0</v>
      </c>
      <c r="R324">
        <v>1.2112399999999999E-3</v>
      </c>
      <c r="S324" t="s">
        <v>1325</v>
      </c>
      <c r="T324" t="s">
        <v>444</v>
      </c>
      <c r="V324" s="2" t="s">
        <v>1359</v>
      </c>
      <c r="W324" t="s">
        <v>1075</v>
      </c>
      <c r="Y324" t="s">
        <v>1076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1</v>
      </c>
      <c r="FH324">
        <v>0</v>
      </c>
      <c r="FI324">
        <v>0</v>
      </c>
      <c r="FJ324">
        <v>2</v>
      </c>
    </row>
    <row r="325" spans="1:166" ht="43.2" x14ac:dyDescent="0.3">
      <c r="A325" t="s">
        <v>1159</v>
      </c>
      <c r="B325" t="s">
        <v>1160</v>
      </c>
      <c r="C325" t="s">
        <v>198</v>
      </c>
      <c r="D325">
        <v>2021</v>
      </c>
      <c r="E325" t="s">
        <v>1073</v>
      </c>
      <c r="F325">
        <v>33.886916999999997</v>
      </c>
      <c r="G325">
        <v>9.5374990000000004</v>
      </c>
      <c r="H325" t="s">
        <v>166</v>
      </c>
      <c r="I325">
        <v>470</v>
      </c>
      <c r="J325" t="s">
        <v>166</v>
      </c>
      <c r="K325">
        <v>470</v>
      </c>
      <c r="L325" t="s">
        <v>167</v>
      </c>
      <c r="M325">
        <v>469</v>
      </c>
      <c r="N325" t="s">
        <v>167</v>
      </c>
      <c r="O325" t="s">
        <v>1086</v>
      </c>
      <c r="P325" t="s">
        <v>1089</v>
      </c>
      <c r="Q325">
        <v>0</v>
      </c>
      <c r="R325">
        <v>1.1088999999999999E-3</v>
      </c>
      <c r="S325" t="s">
        <v>1336</v>
      </c>
      <c r="T325" t="s">
        <v>1323</v>
      </c>
      <c r="V325" s="2" t="s">
        <v>1359</v>
      </c>
      <c r="W325" t="s">
        <v>1075</v>
      </c>
      <c r="Y325" t="s">
        <v>1076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1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</v>
      </c>
      <c r="FH325">
        <v>0</v>
      </c>
      <c r="FI325">
        <v>0</v>
      </c>
      <c r="FJ325">
        <v>2</v>
      </c>
    </row>
    <row r="326" spans="1:166" ht="43.2" x14ac:dyDescent="0.3">
      <c r="A326" t="s">
        <v>1161</v>
      </c>
      <c r="B326" t="s">
        <v>1162</v>
      </c>
      <c r="C326" t="s">
        <v>198</v>
      </c>
      <c r="D326">
        <v>2021</v>
      </c>
      <c r="E326" t="s">
        <v>1073</v>
      </c>
      <c r="F326">
        <v>33.886916999999997</v>
      </c>
      <c r="G326">
        <v>9.5374990000000004</v>
      </c>
      <c r="H326" t="s">
        <v>166</v>
      </c>
      <c r="I326">
        <v>470</v>
      </c>
      <c r="J326" t="s">
        <v>166</v>
      </c>
      <c r="K326">
        <v>470</v>
      </c>
      <c r="L326" t="s">
        <v>167</v>
      </c>
      <c r="M326">
        <v>469</v>
      </c>
      <c r="N326" t="s">
        <v>167</v>
      </c>
      <c r="O326" t="s">
        <v>1086</v>
      </c>
      <c r="P326" t="s">
        <v>819</v>
      </c>
      <c r="Q326">
        <v>0</v>
      </c>
      <c r="R326">
        <v>1.94597E-3</v>
      </c>
      <c r="S326" t="s">
        <v>1329</v>
      </c>
      <c r="T326" t="s">
        <v>1323</v>
      </c>
      <c r="V326" s="2" t="s">
        <v>1359</v>
      </c>
      <c r="W326" t="s">
        <v>1075</v>
      </c>
      <c r="Y326" t="s">
        <v>1076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1</v>
      </c>
      <c r="FH326">
        <v>0</v>
      </c>
      <c r="FI326">
        <v>0</v>
      </c>
      <c r="FJ326">
        <v>2</v>
      </c>
    </row>
    <row r="327" spans="1:166" ht="43.2" x14ac:dyDescent="0.3">
      <c r="A327" t="s">
        <v>1163</v>
      </c>
      <c r="B327" t="s">
        <v>1164</v>
      </c>
      <c r="C327" t="s">
        <v>198</v>
      </c>
      <c r="D327">
        <v>2021</v>
      </c>
      <c r="E327" t="s">
        <v>1073</v>
      </c>
      <c r="F327">
        <v>33.886916999999997</v>
      </c>
      <c r="G327">
        <v>9.5374990000000004</v>
      </c>
      <c r="H327" t="s">
        <v>166</v>
      </c>
      <c r="I327">
        <v>470</v>
      </c>
      <c r="J327" t="s">
        <v>166</v>
      </c>
      <c r="K327">
        <v>470</v>
      </c>
      <c r="L327" t="s">
        <v>167</v>
      </c>
      <c r="M327">
        <v>469</v>
      </c>
      <c r="N327" t="s">
        <v>167</v>
      </c>
      <c r="O327" t="s">
        <v>1086</v>
      </c>
      <c r="P327" t="s">
        <v>433</v>
      </c>
      <c r="Q327">
        <v>0</v>
      </c>
      <c r="R327">
        <v>1.23693E-3</v>
      </c>
      <c r="S327" t="s">
        <v>1324</v>
      </c>
      <c r="T327" t="s">
        <v>1323</v>
      </c>
      <c r="V327" s="2" t="s">
        <v>1359</v>
      </c>
      <c r="W327" t="s">
        <v>1075</v>
      </c>
      <c r="Y327" t="s">
        <v>1076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1</v>
      </c>
      <c r="FH327">
        <v>0</v>
      </c>
      <c r="FI327">
        <v>0</v>
      </c>
      <c r="FJ327">
        <v>2</v>
      </c>
    </row>
    <row r="328" spans="1:166" ht="43.2" x14ac:dyDescent="0.3">
      <c r="A328" t="s">
        <v>1165</v>
      </c>
      <c r="B328" t="s">
        <v>1166</v>
      </c>
      <c r="C328" t="s">
        <v>198</v>
      </c>
      <c r="D328">
        <v>2021</v>
      </c>
      <c r="E328" t="s">
        <v>1073</v>
      </c>
      <c r="F328">
        <v>33.886916999999997</v>
      </c>
      <c r="G328">
        <v>9.5374990000000004</v>
      </c>
      <c r="H328" t="s">
        <v>166</v>
      </c>
      <c r="I328">
        <v>470</v>
      </c>
      <c r="J328" t="s">
        <v>166</v>
      </c>
      <c r="K328">
        <v>470</v>
      </c>
      <c r="L328" t="s">
        <v>167</v>
      </c>
      <c r="M328">
        <v>469</v>
      </c>
      <c r="N328" t="s">
        <v>167</v>
      </c>
      <c r="O328" t="s">
        <v>1086</v>
      </c>
      <c r="P328" t="s">
        <v>994</v>
      </c>
      <c r="Q328">
        <v>0</v>
      </c>
      <c r="R328">
        <v>1.3400700000000001E-3</v>
      </c>
      <c r="S328" t="s">
        <v>1325</v>
      </c>
      <c r="T328" t="s">
        <v>444</v>
      </c>
      <c r="V328" s="2" t="s">
        <v>1359</v>
      </c>
      <c r="W328" t="s">
        <v>1075</v>
      </c>
      <c r="Y328" t="s">
        <v>1076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1</v>
      </c>
      <c r="FH328">
        <v>0</v>
      </c>
      <c r="FI328">
        <v>0</v>
      </c>
      <c r="FJ328">
        <v>2</v>
      </c>
    </row>
    <row r="329" spans="1:166" ht="43.2" x14ac:dyDescent="0.3">
      <c r="A329" t="s">
        <v>1167</v>
      </c>
      <c r="B329" t="s">
        <v>1168</v>
      </c>
      <c r="C329" t="s">
        <v>198</v>
      </c>
      <c r="D329">
        <v>2021</v>
      </c>
      <c r="E329" t="s">
        <v>1073</v>
      </c>
      <c r="F329">
        <v>33.886916999999997</v>
      </c>
      <c r="G329">
        <v>9.5374990000000004</v>
      </c>
      <c r="H329" t="s">
        <v>166</v>
      </c>
      <c r="I329">
        <v>470</v>
      </c>
      <c r="J329" t="s">
        <v>166</v>
      </c>
      <c r="K329">
        <v>470</v>
      </c>
      <c r="L329" t="s">
        <v>167</v>
      </c>
      <c r="M329">
        <v>469</v>
      </c>
      <c r="N329" t="s">
        <v>167</v>
      </c>
      <c r="O329" t="s">
        <v>1098</v>
      </c>
      <c r="P329" t="s">
        <v>491</v>
      </c>
      <c r="Q329">
        <v>0</v>
      </c>
      <c r="R329">
        <v>6.5615400000000005E-4</v>
      </c>
      <c r="S329" t="s">
        <v>1337</v>
      </c>
      <c r="T329" t="s">
        <v>1323</v>
      </c>
      <c r="V329" s="2" t="s">
        <v>1359</v>
      </c>
      <c r="W329" t="s">
        <v>1075</v>
      </c>
      <c r="Y329" t="s">
        <v>1076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1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1</v>
      </c>
      <c r="FE329">
        <v>1</v>
      </c>
      <c r="FF329">
        <v>0</v>
      </c>
      <c r="FG329">
        <v>0</v>
      </c>
      <c r="FH329">
        <v>0</v>
      </c>
      <c r="FI329">
        <v>0</v>
      </c>
      <c r="FJ329">
        <v>85</v>
      </c>
    </row>
    <row r="330" spans="1:166" ht="43.2" x14ac:dyDescent="0.3">
      <c r="A330" t="s">
        <v>1169</v>
      </c>
      <c r="B330" t="s">
        <v>1170</v>
      </c>
      <c r="C330" t="s">
        <v>198</v>
      </c>
      <c r="D330">
        <v>2021</v>
      </c>
      <c r="E330" t="s">
        <v>1073</v>
      </c>
      <c r="F330">
        <v>33.886916999999997</v>
      </c>
      <c r="G330">
        <v>9.5374990000000004</v>
      </c>
      <c r="H330" t="s">
        <v>166</v>
      </c>
      <c r="I330">
        <v>470</v>
      </c>
      <c r="J330" t="s">
        <v>166</v>
      </c>
      <c r="K330">
        <v>470</v>
      </c>
      <c r="L330" t="s">
        <v>167</v>
      </c>
      <c r="M330">
        <v>469</v>
      </c>
      <c r="N330" t="s">
        <v>167</v>
      </c>
      <c r="O330" t="s">
        <v>1086</v>
      </c>
      <c r="P330" t="s">
        <v>1014</v>
      </c>
      <c r="Q330">
        <v>0</v>
      </c>
      <c r="R330">
        <v>1.7592199999999999E-3</v>
      </c>
      <c r="S330" t="s">
        <v>1326</v>
      </c>
      <c r="T330" t="s">
        <v>1323</v>
      </c>
      <c r="V330" s="2" t="s">
        <v>1359</v>
      </c>
      <c r="W330" t="s">
        <v>1075</v>
      </c>
      <c r="Y330" t="s">
        <v>1076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1</v>
      </c>
      <c r="FH330">
        <v>0</v>
      </c>
      <c r="FI330">
        <v>0</v>
      </c>
      <c r="FJ330">
        <v>2</v>
      </c>
    </row>
    <row r="331" spans="1:166" ht="43.2" x14ac:dyDescent="0.3">
      <c r="A331" t="s">
        <v>1171</v>
      </c>
      <c r="B331" t="s">
        <v>1172</v>
      </c>
      <c r="C331" t="s">
        <v>198</v>
      </c>
      <c r="D331">
        <v>2021</v>
      </c>
      <c r="E331" t="s">
        <v>1073</v>
      </c>
      <c r="F331">
        <v>33.886916999999997</v>
      </c>
      <c r="G331">
        <v>9.5374990000000004</v>
      </c>
      <c r="H331" t="s">
        <v>166</v>
      </c>
      <c r="I331">
        <v>470</v>
      </c>
      <c r="J331" t="s">
        <v>166</v>
      </c>
      <c r="K331">
        <v>470</v>
      </c>
      <c r="L331" t="s">
        <v>167</v>
      </c>
      <c r="M331">
        <v>469</v>
      </c>
      <c r="N331" t="s">
        <v>167</v>
      </c>
      <c r="O331" t="s">
        <v>1158</v>
      </c>
      <c r="P331" t="s">
        <v>397</v>
      </c>
      <c r="Q331">
        <v>0</v>
      </c>
      <c r="R331">
        <v>1.28842E-3</v>
      </c>
      <c r="S331" t="s">
        <v>1328</v>
      </c>
      <c r="T331" t="s">
        <v>1323</v>
      </c>
      <c r="V331" s="2" t="s">
        <v>1359</v>
      </c>
      <c r="W331" t="s">
        <v>1075</v>
      </c>
      <c r="Y331" t="s">
        <v>1076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1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1</v>
      </c>
      <c r="FH331">
        <v>0</v>
      </c>
      <c r="FI331">
        <v>0</v>
      </c>
      <c r="FJ331">
        <v>2</v>
      </c>
    </row>
    <row r="332" spans="1:166" ht="43.2" x14ac:dyDescent="0.3">
      <c r="A332" t="s">
        <v>1173</v>
      </c>
      <c r="B332" t="s">
        <v>1174</v>
      </c>
      <c r="C332" t="s">
        <v>198</v>
      </c>
      <c r="D332">
        <v>2021</v>
      </c>
      <c r="E332" t="s">
        <v>1073</v>
      </c>
      <c r="F332">
        <v>33.886916999999997</v>
      </c>
      <c r="G332">
        <v>9.5374990000000004</v>
      </c>
      <c r="H332" t="s">
        <v>166</v>
      </c>
      <c r="I332">
        <v>470</v>
      </c>
      <c r="J332" t="s">
        <v>166</v>
      </c>
      <c r="K332">
        <v>470</v>
      </c>
      <c r="L332" t="s">
        <v>167</v>
      </c>
      <c r="M332">
        <v>469</v>
      </c>
      <c r="N332" t="s">
        <v>167</v>
      </c>
      <c r="O332" t="s">
        <v>1086</v>
      </c>
      <c r="P332" t="s">
        <v>1175</v>
      </c>
      <c r="Q332">
        <v>0</v>
      </c>
      <c r="R332">
        <v>1.39189E-3</v>
      </c>
      <c r="S332" t="s">
        <v>1324</v>
      </c>
      <c r="T332" t="s">
        <v>1323</v>
      </c>
      <c r="V332" s="2" t="s">
        <v>1359</v>
      </c>
      <c r="W332" t="s">
        <v>1075</v>
      </c>
      <c r="Y332" t="s">
        <v>1076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</v>
      </c>
      <c r="FH332">
        <v>0</v>
      </c>
      <c r="FI332">
        <v>0</v>
      </c>
      <c r="FJ332">
        <v>2</v>
      </c>
    </row>
    <row r="333" spans="1:166" ht="43.2" x14ac:dyDescent="0.3">
      <c r="A333" t="s">
        <v>1176</v>
      </c>
      <c r="B333" t="s">
        <v>1177</v>
      </c>
      <c r="C333" t="s">
        <v>198</v>
      </c>
      <c r="D333">
        <v>2021</v>
      </c>
      <c r="E333" t="s">
        <v>1073</v>
      </c>
      <c r="F333">
        <v>33.886916999999997</v>
      </c>
      <c r="G333">
        <v>9.5374990000000004</v>
      </c>
      <c r="H333" t="s">
        <v>166</v>
      </c>
      <c r="I333">
        <v>470</v>
      </c>
      <c r="J333" t="s">
        <v>166</v>
      </c>
      <c r="K333">
        <v>470</v>
      </c>
      <c r="L333" t="s">
        <v>167</v>
      </c>
      <c r="M333">
        <v>469</v>
      </c>
      <c r="N333" t="s">
        <v>167</v>
      </c>
      <c r="O333" t="s">
        <v>1178</v>
      </c>
      <c r="P333" t="s">
        <v>1089</v>
      </c>
      <c r="Q333">
        <v>0</v>
      </c>
      <c r="R333">
        <v>1.1088999999999999E-3</v>
      </c>
      <c r="S333" t="s">
        <v>1333</v>
      </c>
      <c r="T333" t="s">
        <v>1323</v>
      </c>
      <c r="V333" s="2" t="s">
        <v>1359</v>
      </c>
      <c r="W333" t="s">
        <v>1075</v>
      </c>
      <c r="Y333" t="s">
        <v>1076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1</v>
      </c>
      <c r="FH333">
        <v>0</v>
      </c>
      <c r="FI333">
        <v>0</v>
      </c>
      <c r="FJ333">
        <v>2</v>
      </c>
    </row>
    <row r="334" spans="1:166" ht="43.2" x14ac:dyDescent="0.3">
      <c r="A334" t="s">
        <v>1179</v>
      </c>
      <c r="B334" t="s">
        <v>1180</v>
      </c>
      <c r="C334" t="s">
        <v>198</v>
      </c>
      <c r="D334">
        <v>2021</v>
      </c>
      <c r="E334" t="s">
        <v>1073</v>
      </c>
      <c r="F334">
        <v>33.886916999999997</v>
      </c>
      <c r="G334">
        <v>9.5374990000000004</v>
      </c>
      <c r="H334" t="s">
        <v>166</v>
      </c>
      <c r="I334">
        <v>470</v>
      </c>
      <c r="J334" t="s">
        <v>166</v>
      </c>
      <c r="K334">
        <v>470</v>
      </c>
      <c r="L334" t="s">
        <v>167</v>
      </c>
      <c r="M334">
        <v>469</v>
      </c>
      <c r="N334" t="s">
        <v>167</v>
      </c>
      <c r="O334" t="s">
        <v>1178</v>
      </c>
      <c r="P334" t="s">
        <v>1089</v>
      </c>
      <c r="Q334">
        <v>0</v>
      </c>
      <c r="R334">
        <v>1.1088999999999999E-3</v>
      </c>
      <c r="S334" t="s">
        <v>1329</v>
      </c>
      <c r="T334" t="s">
        <v>1323</v>
      </c>
      <c r="V334" s="2" t="s">
        <v>1359</v>
      </c>
      <c r="W334" t="s">
        <v>1075</v>
      </c>
      <c r="Y334" t="s">
        <v>1076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2</v>
      </c>
    </row>
    <row r="335" spans="1:166" ht="43.2" x14ac:dyDescent="0.3">
      <c r="A335" t="s">
        <v>1181</v>
      </c>
      <c r="B335" t="s">
        <v>1182</v>
      </c>
      <c r="C335" t="s">
        <v>198</v>
      </c>
      <c r="D335">
        <v>2021</v>
      </c>
      <c r="E335" t="s">
        <v>1073</v>
      </c>
      <c r="F335">
        <v>33.886916999999997</v>
      </c>
      <c r="G335">
        <v>9.5374990000000004</v>
      </c>
      <c r="H335" t="s">
        <v>166</v>
      </c>
      <c r="I335">
        <v>470</v>
      </c>
      <c r="J335" t="s">
        <v>166</v>
      </c>
      <c r="K335">
        <v>470</v>
      </c>
      <c r="L335" t="s">
        <v>167</v>
      </c>
      <c r="M335">
        <v>469</v>
      </c>
      <c r="N335" t="s">
        <v>167</v>
      </c>
      <c r="O335" t="s">
        <v>1183</v>
      </c>
      <c r="P335" t="s">
        <v>397</v>
      </c>
      <c r="Q335">
        <v>0</v>
      </c>
      <c r="R335">
        <v>1.28842E-3</v>
      </c>
      <c r="S335" t="s">
        <v>1329</v>
      </c>
      <c r="T335" t="s">
        <v>1323</v>
      </c>
      <c r="V335" s="2" t="s">
        <v>1359</v>
      </c>
      <c r="W335" t="s">
        <v>1075</v>
      </c>
      <c r="Y335" t="s">
        <v>1076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1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1</v>
      </c>
      <c r="FH335">
        <v>0</v>
      </c>
      <c r="FI335">
        <v>0</v>
      </c>
      <c r="FJ335">
        <v>2</v>
      </c>
    </row>
    <row r="336" spans="1:166" ht="43.2" x14ac:dyDescent="0.3">
      <c r="A336" t="s">
        <v>1184</v>
      </c>
      <c r="B336" t="s">
        <v>1185</v>
      </c>
      <c r="C336" t="s">
        <v>198</v>
      </c>
      <c r="D336">
        <v>2021</v>
      </c>
      <c r="E336" t="s">
        <v>1073</v>
      </c>
      <c r="F336">
        <v>33.886916999999997</v>
      </c>
      <c r="G336">
        <v>9.5374990000000004</v>
      </c>
      <c r="H336" t="s">
        <v>166</v>
      </c>
      <c r="I336">
        <v>470</v>
      </c>
      <c r="J336" t="s">
        <v>166</v>
      </c>
      <c r="K336">
        <v>470</v>
      </c>
      <c r="L336" t="s">
        <v>167</v>
      </c>
      <c r="M336">
        <v>469</v>
      </c>
      <c r="N336" t="s">
        <v>167</v>
      </c>
      <c r="O336" t="s">
        <v>1178</v>
      </c>
      <c r="P336" t="s">
        <v>1089</v>
      </c>
      <c r="Q336">
        <v>0</v>
      </c>
      <c r="R336">
        <v>1.1088999999999999E-3</v>
      </c>
      <c r="S336" t="s">
        <v>1337</v>
      </c>
      <c r="T336" t="s">
        <v>1323</v>
      </c>
      <c r="V336" s="2" t="s">
        <v>1359</v>
      </c>
      <c r="W336" t="s">
        <v>1075</v>
      </c>
      <c r="Y336" t="s">
        <v>1076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1</v>
      </c>
      <c r="FH336">
        <v>0</v>
      </c>
      <c r="FI336">
        <v>0</v>
      </c>
      <c r="FJ336">
        <v>2</v>
      </c>
    </row>
    <row r="337" spans="1:166" ht="43.2" x14ac:dyDescent="0.3">
      <c r="A337" t="s">
        <v>1186</v>
      </c>
      <c r="B337" t="s">
        <v>1187</v>
      </c>
      <c r="C337" t="s">
        <v>198</v>
      </c>
      <c r="D337">
        <v>2021</v>
      </c>
      <c r="E337" t="s">
        <v>1073</v>
      </c>
      <c r="F337">
        <v>33.886916999999997</v>
      </c>
      <c r="G337">
        <v>9.5374990000000004</v>
      </c>
      <c r="H337" t="s">
        <v>166</v>
      </c>
      <c r="I337">
        <v>470</v>
      </c>
      <c r="J337" t="s">
        <v>166</v>
      </c>
      <c r="K337">
        <v>470</v>
      </c>
      <c r="L337" t="s">
        <v>167</v>
      </c>
      <c r="M337">
        <v>469</v>
      </c>
      <c r="N337" t="s">
        <v>167</v>
      </c>
      <c r="O337" t="s">
        <v>1178</v>
      </c>
      <c r="P337" t="s">
        <v>1089</v>
      </c>
      <c r="Q337">
        <v>0</v>
      </c>
      <c r="R337">
        <v>1.1088999999999999E-3</v>
      </c>
      <c r="S337" t="s">
        <v>1338</v>
      </c>
      <c r="T337" t="s">
        <v>1323</v>
      </c>
      <c r="V337" s="2" t="s">
        <v>1359</v>
      </c>
      <c r="W337" t="s">
        <v>1075</v>
      </c>
      <c r="Y337" t="s">
        <v>1076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</v>
      </c>
      <c r="FH337">
        <v>0</v>
      </c>
      <c r="FI337">
        <v>0</v>
      </c>
      <c r="FJ337">
        <v>2</v>
      </c>
    </row>
    <row r="338" spans="1:166" ht="43.2" x14ac:dyDescent="0.3">
      <c r="A338" t="s">
        <v>1188</v>
      </c>
      <c r="B338" t="s">
        <v>1189</v>
      </c>
      <c r="C338" t="s">
        <v>198</v>
      </c>
      <c r="D338">
        <v>2021</v>
      </c>
      <c r="E338" t="s">
        <v>1073</v>
      </c>
      <c r="F338">
        <v>33.886916999999997</v>
      </c>
      <c r="G338">
        <v>9.5374990000000004</v>
      </c>
      <c r="H338" t="s">
        <v>166</v>
      </c>
      <c r="I338">
        <v>470</v>
      </c>
      <c r="J338" t="s">
        <v>166</v>
      </c>
      <c r="K338">
        <v>470</v>
      </c>
      <c r="L338" t="s">
        <v>167</v>
      </c>
      <c r="M338">
        <v>469</v>
      </c>
      <c r="N338" t="s">
        <v>167</v>
      </c>
      <c r="O338" t="s">
        <v>1178</v>
      </c>
      <c r="P338" t="s">
        <v>1089</v>
      </c>
      <c r="Q338">
        <v>0</v>
      </c>
      <c r="R338">
        <v>1.1088999999999999E-3</v>
      </c>
      <c r="S338" t="s">
        <v>1325</v>
      </c>
      <c r="T338" t="s">
        <v>444</v>
      </c>
      <c r="V338" s="2" t="s">
        <v>1359</v>
      </c>
      <c r="W338" t="s">
        <v>1075</v>
      </c>
      <c r="Y338" t="s">
        <v>1076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1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1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1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1</v>
      </c>
      <c r="FH338">
        <v>0</v>
      </c>
      <c r="FI338">
        <v>0</v>
      </c>
      <c r="FJ338">
        <v>2</v>
      </c>
    </row>
    <row r="339" spans="1:166" ht="43.2" x14ac:dyDescent="0.3">
      <c r="A339" t="s">
        <v>1190</v>
      </c>
      <c r="B339" t="s">
        <v>1191</v>
      </c>
      <c r="C339" t="s">
        <v>198</v>
      </c>
      <c r="D339">
        <v>2021</v>
      </c>
      <c r="E339" t="s">
        <v>1073</v>
      </c>
      <c r="F339">
        <v>33.886916999999997</v>
      </c>
      <c r="G339">
        <v>9.5374990000000004</v>
      </c>
      <c r="H339" t="s">
        <v>166</v>
      </c>
      <c r="I339">
        <v>470</v>
      </c>
      <c r="J339" t="s">
        <v>166</v>
      </c>
      <c r="K339">
        <v>470</v>
      </c>
      <c r="L339" t="s">
        <v>167</v>
      </c>
      <c r="M339">
        <v>469</v>
      </c>
      <c r="N339" t="s">
        <v>167</v>
      </c>
      <c r="O339" t="s">
        <v>1178</v>
      </c>
      <c r="P339" t="s">
        <v>939</v>
      </c>
      <c r="Q339">
        <v>0</v>
      </c>
      <c r="R339">
        <v>1.2112399999999999E-3</v>
      </c>
      <c r="S339" t="s">
        <v>1338</v>
      </c>
      <c r="T339" t="s">
        <v>1323</v>
      </c>
      <c r="V339" s="2" t="s">
        <v>1359</v>
      </c>
      <c r="W339" t="s">
        <v>1075</v>
      </c>
      <c r="Y339" t="s">
        <v>1076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0</v>
      </c>
      <c r="FI339">
        <v>0</v>
      </c>
      <c r="FJ339">
        <v>2</v>
      </c>
    </row>
    <row r="340" spans="1:166" ht="43.2" x14ac:dyDescent="0.3">
      <c r="A340" t="s">
        <v>1192</v>
      </c>
      <c r="B340" t="s">
        <v>1193</v>
      </c>
      <c r="C340" t="s">
        <v>198</v>
      </c>
      <c r="D340">
        <v>2021</v>
      </c>
      <c r="E340" t="s">
        <v>1073</v>
      </c>
      <c r="F340">
        <v>33.886916999999997</v>
      </c>
      <c r="G340">
        <v>9.5374990000000004</v>
      </c>
      <c r="H340" t="s">
        <v>166</v>
      </c>
      <c r="I340">
        <v>470</v>
      </c>
      <c r="J340" t="s">
        <v>166</v>
      </c>
      <c r="K340">
        <v>470</v>
      </c>
      <c r="L340" t="s">
        <v>167</v>
      </c>
      <c r="M340">
        <v>469</v>
      </c>
      <c r="N340" t="s">
        <v>167</v>
      </c>
      <c r="O340" t="s">
        <v>1098</v>
      </c>
      <c r="P340" t="s">
        <v>333</v>
      </c>
      <c r="Q340">
        <v>0</v>
      </c>
      <c r="R340">
        <v>1.0325600000000001E-3</v>
      </c>
      <c r="S340" t="s">
        <v>1338</v>
      </c>
      <c r="T340" t="s">
        <v>1323</v>
      </c>
      <c r="V340" s="2" t="s">
        <v>1359</v>
      </c>
      <c r="W340" t="s">
        <v>1075</v>
      </c>
      <c r="Y340" t="s">
        <v>1076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1</v>
      </c>
      <c r="EZ340">
        <v>0</v>
      </c>
      <c r="FA340">
        <v>0</v>
      </c>
      <c r="FB340">
        <v>0</v>
      </c>
      <c r="FC340">
        <v>0</v>
      </c>
      <c r="FD340">
        <v>1</v>
      </c>
      <c r="FE340">
        <v>1</v>
      </c>
      <c r="FF340">
        <v>0</v>
      </c>
      <c r="FG340">
        <v>0</v>
      </c>
      <c r="FH340">
        <v>0</v>
      </c>
      <c r="FI340">
        <v>0</v>
      </c>
      <c r="FJ340">
        <v>85</v>
      </c>
    </row>
    <row r="341" spans="1:166" ht="43.2" x14ac:dyDescent="0.3">
      <c r="A341" t="s">
        <v>1194</v>
      </c>
      <c r="B341" t="s">
        <v>1195</v>
      </c>
      <c r="C341" t="s">
        <v>198</v>
      </c>
      <c r="D341">
        <v>2021</v>
      </c>
      <c r="E341" t="s">
        <v>1073</v>
      </c>
      <c r="F341">
        <v>33.886916999999997</v>
      </c>
      <c r="G341">
        <v>9.5374990000000004</v>
      </c>
      <c r="H341" t="s">
        <v>166</v>
      </c>
      <c r="I341">
        <v>470</v>
      </c>
      <c r="J341" t="s">
        <v>166</v>
      </c>
      <c r="K341">
        <v>470</v>
      </c>
      <c r="L341" t="s">
        <v>167</v>
      </c>
      <c r="M341">
        <v>469</v>
      </c>
      <c r="N341" t="s">
        <v>167</v>
      </c>
      <c r="O341" t="s">
        <v>1123</v>
      </c>
      <c r="P341" t="s">
        <v>518</v>
      </c>
      <c r="Q341">
        <v>0</v>
      </c>
      <c r="R341">
        <v>3.1257300000000002E-4</v>
      </c>
      <c r="S341" t="s">
        <v>1329</v>
      </c>
      <c r="T341" t="s">
        <v>1323</v>
      </c>
      <c r="V341" s="2" t="s">
        <v>1359</v>
      </c>
      <c r="W341" t="s">
        <v>1075</v>
      </c>
      <c r="Y341" t="s">
        <v>1076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0</v>
      </c>
      <c r="FD341">
        <v>1</v>
      </c>
      <c r="FE341">
        <v>1</v>
      </c>
      <c r="FF341">
        <v>0</v>
      </c>
      <c r="FG341">
        <v>0</v>
      </c>
      <c r="FH341">
        <v>0</v>
      </c>
      <c r="FI341">
        <v>0</v>
      </c>
      <c r="FJ341">
        <v>85</v>
      </c>
    </row>
    <row r="342" spans="1:166" ht="28.8" x14ac:dyDescent="0.3">
      <c r="A342" t="s">
        <v>1196</v>
      </c>
      <c r="B342" t="s">
        <v>1197</v>
      </c>
      <c r="C342" t="s">
        <v>1411</v>
      </c>
      <c r="D342">
        <v>2021</v>
      </c>
      <c r="E342" t="s">
        <v>1198</v>
      </c>
      <c r="F342">
        <v>-24.65</v>
      </c>
      <c r="G342">
        <v>25.9</v>
      </c>
      <c r="H342" t="s">
        <v>166</v>
      </c>
      <c r="I342">
        <v>470</v>
      </c>
      <c r="J342" t="s">
        <v>166</v>
      </c>
      <c r="K342">
        <v>470</v>
      </c>
      <c r="L342" t="s">
        <v>167</v>
      </c>
      <c r="M342">
        <v>469</v>
      </c>
      <c r="N342" t="s">
        <v>167</v>
      </c>
      <c r="O342" t="s">
        <v>451</v>
      </c>
      <c r="P342" t="s">
        <v>899</v>
      </c>
      <c r="Q342">
        <v>0</v>
      </c>
      <c r="R342" s="1" t="s">
        <v>900</v>
      </c>
      <c r="S342" t="s">
        <v>1298</v>
      </c>
      <c r="T342" t="s">
        <v>444</v>
      </c>
      <c r="V342" s="2" t="s">
        <v>1360</v>
      </c>
      <c r="W342" t="s">
        <v>1199</v>
      </c>
      <c r="Y342" t="s">
        <v>1200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1</v>
      </c>
      <c r="EM342">
        <v>1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1</v>
      </c>
      <c r="EY342">
        <v>1</v>
      </c>
      <c r="EZ342">
        <v>0</v>
      </c>
      <c r="FA342">
        <v>1</v>
      </c>
      <c r="FB342">
        <v>1</v>
      </c>
      <c r="FC342">
        <v>1</v>
      </c>
      <c r="FD342">
        <v>1</v>
      </c>
      <c r="FE342">
        <v>0</v>
      </c>
      <c r="FF342">
        <v>0</v>
      </c>
      <c r="FG342">
        <v>1</v>
      </c>
      <c r="FH342">
        <v>0</v>
      </c>
      <c r="FI342">
        <v>0</v>
      </c>
      <c r="FJ342">
        <v>1</v>
      </c>
    </row>
    <row r="343" spans="1:166" ht="28.8" x14ac:dyDescent="0.3">
      <c r="A343" t="s">
        <v>1201</v>
      </c>
      <c r="B343" t="s">
        <v>1202</v>
      </c>
      <c r="C343" t="s">
        <v>1411</v>
      </c>
      <c r="D343">
        <v>2021</v>
      </c>
      <c r="E343" t="s">
        <v>1198</v>
      </c>
      <c r="F343">
        <v>-24.65</v>
      </c>
      <c r="G343">
        <v>25.9</v>
      </c>
      <c r="H343" t="s">
        <v>166</v>
      </c>
      <c r="I343">
        <v>470</v>
      </c>
      <c r="J343" t="s">
        <v>166</v>
      </c>
      <c r="K343">
        <v>470</v>
      </c>
      <c r="L343" t="s">
        <v>167</v>
      </c>
      <c r="M343">
        <v>469</v>
      </c>
      <c r="N343" t="s">
        <v>167</v>
      </c>
      <c r="O343" t="s">
        <v>451</v>
      </c>
      <c r="P343" t="s">
        <v>899</v>
      </c>
      <c r="Q343">
        <v>0</v>
      </c>
      <c r="R343" s="1" t="s">
        <v>900</v>
      </c>
      <c r="S343" t="s">
        <v>1298</v>
      </c>
      <c r="T343" t="s">
        <v>444</v>
      </c>
      <c r="V343" s="2" t="s">
        <v>1360</v>
      </c>
      <c r="W343" t="s">
        <v>1199</v>
      </c>
      <c r="Y343" t="s">
        <v>1200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1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1</v>
      </c>
    </row>
    <row r="344" spans="1:166" ht="28.8" x14ac:dyDescent="0.3">
      <c r="A344" t="s">
        <v>1203</v>
      </c>
      <c r="B344" t="s">
        <v>1204</v>
      </c>
      <c r="C344" t="s">
        <v>1406</v>
      </c>
      <c r="D344">
        <v>2021</v>
      </c>
      <c r="E344" t="s">
        <v>1198</v>
      </c>
      <c r="F344">
        <v>-24.65</v>
      </c>
      <c r="G344">
        <v>25.9</v>
      </c>
      <c r="H344" t="s">
        <v>166</v>
      </c>
      <c r="I344">
        <v>470</v>
      </c>
      <c r="J344" t="s">
        <v>166</v>
      </c>
      <c r="K344">
        <v>470</v>
      </c>
      <c r="L344" t="s">
        <v>167</v>
      </c>
      <c r="M344">
        <v>469</v>
      </c>
      <c r="N344" t="s">
        <v>167</v>
      </c>
      <c r="O344" t="s">
        <v>451</v>
      </c>
      <c r="P344" t="s">
        <v>899</v>
      </c>
      <c r="Q344">
        <v>0</v>
      </c>
      <c r="R344" s="1" t="s">
        <v>900</v>
      </c>
      <c r="S344" t="s">
        <v>1298</v>
      </c>
      <c r="T344" t="s">
        <v>444</v>
      </c>
      <c r="V344" s="2" t="s">
        <v>1360</v>
      </c>
      <c r="W344" t="s">
        <v>1199</v>
      </c>
      <c r="Y344" t="s">
        <v>1200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0</v>
      </c>
      <c r="EK344">
        <v>0</v>
      </c>
      <c r="EL344">
        <v>1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1</v>
      </c>
      <c r="FH344">
        <v>0</v>
      </c>
      <c r="FI344">
        <v>0</v>
      </c>
      <c r="FJ344">
        <v>1</v>
      </c>
    </row>
    <row r="345" spans="1:166" ht="28.8" x14ac:dyDescent="0.3">
      <c r="A345" t="s">
        <v>1205</v>
      </c>
      <c r="B345" t="s">
        <v>1206</v>
      </c>
      <c r="C345" t="s">
        <v>1404</v>
      </c>
      <c r="D345">
        <v>2021</v>
      </c>
      <c r="E345" t="s">
        <v>1198</v>
      </c>
      <c r="F345">
        <v>-24.65</v>
      </c>
      <c r="G345">
        <v>25.9</v>
      </c>
      <c r="H345" t="s">
        <v>166</v>
      </c>
      <c r="I345">
        <v>470</v>
      </c>
      <c r="J345" t="s">
        <v>166</v>
      </c>
      <c r="K345">
        <v>470</v>
      </c>
      <c r="L345" t="s">
        <v>167</v>
      </c>
      <c r="M345">
        <v>469</v>
      </c>
      <c r="N345" t="s">
        <v>167</v>
      </c>
      <c r="O345" t="s">
        <v>1207</v>
      </c>
      <c r="P345" t="s">
        <v>1208</v>
      </c>
      <c r="Q345">
        <v>0</v>
      </c>
      <c r="R345">
        <v>7.4132099999999999E-3</v>
      </c>
      <c r="S345" t="s">
        <v>1339</v>
      </c>
      <c r="T345" t="s">
        <v>1322</v>
      </c>
      <c r="V345" s="2" t="s">
        <v>1360</v>
      </c>
      <c r="W345" t="s">
        <v>1199</v>
      </c>
      <c r="Y345" t="s">
        <v>1200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152</v>
      </c>
    </row>
    <row r="346" spans="1:166" ht="28.8" x14ac:dyDescent="0.3">
      <c r="A346" t="s">
        <v>1209</v>
      </c>
      <c r="B346" t="s">
        <v>1210</v>
      </c>
      <c r="C346" t="s">
        <v>1406</v>
      </c>
      <c r="D346">
        <v>2021</v>
      </c>
      <c r="E346" t="s">
        <v>1198</v>
      </c>
      <c r="F346">
        <v>-24.65</v>
      </c>
      <c r="G346">
        <v>25.9</v>
      </c>
      <c r="H346" t="s">
        <v>166</v>
      </c>
      <c r="I346">
        <v>470</v>
      </c>
      <c r="J346" t="s">
        <v>166</v>
      </c>
      <c r="K346">
        <v>470</v>
      </c>
      <c r="L346" t="s">
        <v>167</v>
      </c>
      <c r="M346">
        <v>469</v>
      </c>
      <c r="N346" t="s">
        <v>167</v>
      </c>
      <c r="O346" t="s">
        <v>1211</v>
      </c>
      <c r="P346" t="s">
        <v>670</v>
      </c>
      <c r="Q346">
        <v>0</v>
      </c>
      <c r="R346">
        <v>3.9962900000000004E-3</v>
      </c>
      <c r="S346" t="s">
        <v>1298</v>
      </c>
      <c r="T346" t="s">
        <v>444</v>
      </c>
      <c r="V346" s="2" t="s">
        <v>1360</v>
      </c>
      <c r="W346" t="s">
        <v>1199</v>
      </c>
      <c r="Y346" t="s">
        <v>1200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193</v>
      </c>
    </row>
    <row r="347" spans="1:166" ht="28.8" x14ac:dyDescent="0.3">
      <c r="A347" t="s">
        <v>1212</v>
      </c>
      <c r="B347" t="s">
        <v>1213</v>
      </c>
      <c r="C347" t="s">
        <v>1406</v>
      </c>
      <c r="D347">
        <v>2021</v>
      </c>
      <c r="E347" t="s">
        <v>1198</v>
      </c>
      <c r="F347">
        <v>-24.65</v>
      </c>
      <c r="G347">
        <v>25.9</v>
      </c>
      <c r="H347" t="s">
        <v>166</v>
      </c>
      <c r="I347">
        <v>470</v>
      </c>
      <c r="J347" t="s">
        <v>166</v>
      </c>
      <c r="K347">
        <v>470</v>
      </c>
      <c r="L347" t="s">
        <v>167</v>
      </c>
      <c r="M347">
        <v>469</v>
      </c>
      <c r="N347" t="s">
        <v>167</v>
      </c>
      <c r="O347" t="s">
        <v>451</v>
      </c>
      <c r="P347" t="s">
        <v>1214</v>
      </c>
      <c r="Q347">
        <v>0</v>
      </c>
      <c r="R347" s="1" t="s">
        <v>1215</v>
      </c>
      <c r="S347" t="s">
        <v>1298</v>
      </c>
      <c r="T347" t="s">
        <v>444</v>
      </c>
      <c r="V347" s="2" t="s">
        <v>1360</v>
      </c>
      <c r="W347" t="s">
        <v>1199</v>
      </c>
      <c r="Y347" t="s">
        <v>1200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1</v>
      </c>
      <c r="AT347">
        <v>1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1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0</v>
      </c>
      <c r="EK347">
        <v>0</v>
      </c>
      <c r="EL347">
        <v>1</v>
      </c>
      <c r="EM347">
        <v>1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1</v>
      </c>
      <c r="EY347">
        <v>1</v>
      </c>
      <c r="EZ347">
        <v>0</v>
      </c>
      <c r="FA347">
        <v>1</v>
      </c>
      <c r="FB347">
        <v>1</v>
      </c>
      <c r="FC347">
        <v>1</v>
      </c>
      <c r="FD347">
        <v>1</v>
      </c>
      <c r="FE347">
        <v>0</v>
      </c>
      <c r="FF347">
        <v>0</v>
      </c>
      <c r="FG347">
        <v>1</v>
      </c>
      <c r="FH347">
        <v>0</v>
      </c>
      <c r="FI347">
        <v>0</v>
      </c>
      <c r="FJ347">
        <v>1</v>
      </c>
    </row>
    <row r="348" spans="1:166" ht="28.8" x14ac:dyDescent="0.3">
      <c r="A348" t="s">
        <v>1216</v>
      </c>
      <c r="B348" t="s">
        <v>1217</v>
      </c>
      <c r="C348" t="s">
        <v>1409</v>
      </c>
      <c r="D348">
        <v>2021</v>
      </c>
      <c r="E348" t="s">
        <v>1198</v>
      </c>
      <c r="F348">
        <v>-24.65</v>
      </c>
      <c r="G348">
        <v>25.9</v>
      </c>
      <c r="H348" t="s">
        <v>166</v>
      </c>
      <c r="I348">
        <v>470</v>
      </c>
      <c r="J348" t="s">
        <v>166</v>
      </c>
      <c r="K348">
        <v>470</v>
      </c>
      <c r="L348" t="s">
        <v>167</v>
      </c>
      <c r="M348">
        <v>469</v>
      </c>
      <c r="N348" t="s">
        <v>167</v>
      </c>
      <c r="O348" t="s">
        <v>451</v>
      </c>
      <c r="P348" t="s">
        <v>899</v>
      </c>
      <c r="Q348">
        <v>0</v>
      </c>
      <c r="R348" s="1" t="s">
        <v>900</v>
      </c>
      <c r="S348" t="s">
        <v>1298</v>
      </c>
      <c r="T348" t="s">
        <v>444</v>
      </c>
      <c r="V348" s="2" t="s">
        <v>1360</v>
      </c>
      <c r="W348" t="s">
        <v>1199</v>
      </c>
      <c r="Y348" t="s">
        <v>1200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1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0</v>
      </c>
      <c r="EK348">
        <v>0</v>
      </c>
      <c r="EL348">
        <v>1</v>
      </c>
      <c r="EM348">
        <v>1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1</v>
      </c>
      <c r="EY348">
        <v>1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1</v>
      </c>
    </row>
    <row r="349" spans="1:166" ht="28.8" x14ac:dyDescent="0.3">
      <c r="A349" t="s">
        <v>1218</v>
      </c>
      <c r="B349" t="s">
        <v>1219</v>
      </c>
      <c r="C349" t="s">
        <v>1407</v>
      </c>
      <c r="D349">
        <v>2022</v>
      </c>
      <c r="E349" t="s">
        <v>1198</v>
      </c>
      <c r="F349">
        <v>-24.65</v>
      </c>
      <c r="G349">
        <v>25.9</v>
      </c>
      <c r="H349" t="s">
        <v>166</v>
      </c>
      <c r="I349">
        <v>470</v>
      </c>
      <c r="J349" t="s">
        <v>166</v>
      </c>
      <c r="K349">
        <v>470</v>
      </c>
      <c r="L349" t="s">
        <v>167</v>
      </c>
      <c r="M349">
        <v>469</v>
      </c>
      <c r="N349" t="s">
        <v>167</v>
      </c>
      <c r="O349" t="s">
        <v>451</v>
      </c>
      <c r="P349" t="s">
        <v>1220</v>
      </c>
      <c r="Q349">
        <v>0</v>
      </c>
      <c r="R349">
        <v>1.67546E-4</v>
      </c>
      <c r="S349" t="s">
        <v>1298</v>
      </c>
      <c r="T349" t="s">
        <v>444</v>
      </c>
      <c r="V349" s="2" t="s">
        <v>1360</v>
      </c>
      <c r="W349" t="s">
        <v>1199</v>
      </c>
      <c r="Y349" t="s">
        <v>1200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0</v>
      </c>
      <c r="EK349">
        <v>0</v>
      </c>
      <c r="EL349">
        <v>1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</v>
      </c>
      <c r="EY349">
        <v>1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0</v>
      </c>
      <c r="FF349">
        <v>0</v>
      </c>
      <c r="FG349">
        <v>1</v>
      </c>
      <c r="FH349">
        <v>0</v>
      </c>
      <c r="FI349">
        <v>0</v>
      </c>
      <c r="FJ349">
        <v>1</v>
      </c>
    </row>
    <row r="350" spans="1:166" ht="28.8" x14ac:dyDescent="0.3">
      <c r="A350" t="s">
        <v>1221</v>
      </c>
      <c r="B350" t="s">
        <v>1222</v>
      </c>
      <c r="C350" t="s">
        <v>1407</v>
      </c>
      <c r="D350">
        <v>2022</v>
      </c>
      <c r="E350" t="s">
        <v>1198</v>
      </c>
      <c r="F350">
        <v>-24.65</v>
      </c>
      <c r="G350">
        <v>25.9</v>
      </c>
      <c r="H350" t="s">
        <v>166</v>
      </c>
      <c r="I350">
        <v>470</v>
      </c>
      <c r="J350" t="s">
        <v>166</v>
      </c>
      <c r="K350">
        <v>470</v>
      </c>
      <c r="L350" t="s">
        <v>167</v>
      </c>
      <c r="M350">
        <v>469</v>
      </c>
      <c r="N350" t="s">
        <v>167</v>
      </c>
      <c r="O350" t="s">
        <v>451</v>
      </c>
      <c r="P350" t="s">
        <v>1220</v>
      </c>
      <c r="Q350">
        <v>0</v>
      </c>
      <c r="R350">
        <v>1.67546E-4</v>
      </c>
      <c r="S350" t="s">
        <v>1298</v>
      </c>
      <c r="T350" t="s">
        <v>444</v>
      </c>
      <c r="V350" s="2" t="s">
        <v>1360</v>
      </c>
      <c r="W350" t="s">
        <v>1199</v>
      </c>
      <c r="Y350" t="s">
        <v>1200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1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1</v>
      </c>
      <c r="EZ350">
        <v>0</v>
      </c>
      <c r="FA350">
        <v>1</v>
      </c>
      <c r="FB350">
        <v>1</v>
      </c>
      <c r="FC350">
        <v>1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1</v>
      </c>
    </row>
    <row r="351" spans="1:166" ht="28.8" x14ac:dyDescent="0.3">
      <c r="A351" t="s">
        <v>1223</v>
      </c>
      <c r="B351" t="s">
        <v>1224</v>
      </c>
      <c r="C351" t="s">
        <v>1407</v>
      </c>
      <c r="D351">
        <v>2022</v>
      </c>
      <c r="E351" t="s">
        <v>1198</v>
      </c>
      <c r="F351">
        <v>-24.65</v>
      </c>
      <c r="G351">
        <v>25.9</v>
      </c>
      <c r="H351" t="s">
        <v>166</v>
      </c>
      <c r="I351">
        <v>470</v>
      </c>
      <c r="J351" t="s">
        <v>166</v>
      </c>
      <c r="K351">
        <v>470</v>
      </c>
      <c r="L351" t="s">
        <v>167</v>
      </c>
      <c r="M351">
        <v>469</v>
      </c>
      <c r="N351" t="s">
        <v>167</v>
      </c>
      <c r="O351" t="s">
        <v>1225</v>
      </c>
      <c r="P351" t="s">
        <v>1226</v>
      </c>
      <c r="Q351">
        <v>0</v>
      </c>
      <c r="R351">
        <v>4.0265400000000003E-3</v>
      </c>
      <c r="S351" t="s">
        <v>1298</v>
      </c>
      <c r="T351" t="s">
        <v>444</v>
      </c>
      <c r="V351" s="2" t="s">
        <v>1360</v>
      </c>
      <c r="W351" t="s">
        <v>1199</v>
      </c>
      <c r="Y351" t="s">
        <v>1200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976</v>
      </c>
    </row>
    <row r="352" spans="1:166" ht="28.8" x14ac:dyDescent="0.3">
      <c r="A352" t="s">
        <v>1227</v>
      </c>
      <c r="B352" t="s">
        <v>1228</v>
      </c>
      <c r="C352" t="s">
        <v>1408</v>
      </c>
      <c r="D352">
        <v>2021</v>
      </c>
      <c r="E352" t="s">
        <v>1198</v>
      </c>
      <c r="F352">
        <v>-24.65</v>
      </c>
      <c r="G352">
        <v>25.9</v>
      </c>
      <c r="H352" t="s">
        <v>166</v>
      </c>
      <c r="I352">
        <v>470</v>
      </c>
      <c r="J352" t="s">
        <v>166</v>
      </c>
      <c r="K352">
        <v>470</v>
      </c>
      <c r="L352" t="s">
        <v>167</v>
      </c>
      <c r="M352">
        <v>469</v>
      </c>
      <c r="N352" t="s">
        <v>167</v>
      </c>
      <c r="O352" t="s">
        <v>451</v>
      </c>
      <c r="P352" t="s">
        <v>899</v>
      </c>
      <c r="Q352">
        <v>0</v>
      </c>
      <c r="R352" s="1" t="s">
        <v>900</v>
      </c>
      <c r="S352" t="s">
        <v>1298</v>
      </c>
      <c r="T352" t="s">
        <v>444</v>
      </c>
      <c r="V352" s="2" t="s">
        <v>1360</v>
      </c>
      <c r="W352" t="s">
        <v>1199</v>
      </c>
      <c r="Y352" t="s">
        <v>1200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1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0</v>
      </c>
      <c r="FF352">
        <v>0</v>
      </c>
      <c r="FG352">
        <v>1</v>
      </c>
      <c r="FH352">
        <v>0</v>
      </c>
      <c r="FI352">
        <v>0</v>
      </c>
      <c r="FJ352">
        <v>1</v>
      </c>
    </row>
    <row r="353" spans="1:166" ht="28.8" x14ac:dyDescent="0.3">
      <c r="A353" t="s">
        <v>1229</v>
      </c>
      <c r="B353" t="s">
        <v>1230</v>
      </c>
      <c r="C353" t="s">
        <v>1410</v>
      </c>
      <c r="D353">
        <v>2022</v>
      </c>
      <c r="E353" t="s">
        <v>1198</v>
      </c>
      <c r="F353">
        <v>-24.65</v>
      </c>
      <c r="G353">
        <v>25.9</v>
      </c>
      <c r="H353" t="s">
        <v>166</v>
      </c>
      <c r="I353">
        <v>470</v>
      </c>
      <c r="J353" t="s">
        <v>166</v>
      </c>
      <c r="K353">
        <v>470</v>
      </c>
      <c r="L353" t="s">
        <v>167</v>
      </c>
      <c r="M353">
        <v>469</v>
      </c>
      <c r="N353" t="s">
        <v>167</v>
      </c>
      <c r="O353" t="s">
        <v>451</v>
      </c>
      <c r="P353" t="s">
        <v>541</v>
      </c>
      <c r="Q353">
        <v>0</v>
      </c>
      <c r="R353">
        <v>4.0999199999999997E-4</v>
      </c>
      <c r="S353" t="s">
        <v>1298</v>
      </c>
      <c r="T353" t="s">
        <v>444</v>
      </c>
      <c r="V353" s="2" t="s">
        <v>1360</v>
      </c>
      <c r="W353" t="s">
        <v>1199</v>
      </c>
      <c r="Y353" t="s">
        <v>1200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1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0</v>
      </c>
      <c r="FF353">
        <v>0</v>
      </c>
      <c r="FG353">
        <v>1</v>
      </c>
      <c r="FH353">
        <v>0</v>
      </c>
      <c r="FI353">
        <v>0</v>
      </c>
      <c r="FJ353">
        <v>1</v>
      </c>
    </row>
    <row r="354" spans="1:166" ht="28.8" x14ac:dyDescent="0.3">
      <c r="A354" t="s">
        <v>1231</v>
      </c>
      <c r="B354" t="s">
        <v>1232</v>
      </c>
      <c r="C354" t="s">
        <v>1410</v>
      </c>
      <c r="D354">
        <v>2022</v>
      </c>
      <c r="E354" t="s">
        <v>1198</v>
      </c>
      <c r="F354">
        <v>-24.65</v>
      </c>
      <c r="G354">
        <v>25.9</v>
      </c>
      <c r="H354" t="s">
        <v>166</v>
      </c>
      <c r="I354">
        <v>470</v>
      </c>
      <c r="J354" t="s">
        <v>166</v>
      </c>
      <c r="K354">
        <v>470</v>
      </c>
      <c r="L354" t="s">
        <v>167</v>
      </c>
      <c r="M354">
        <v>469</v>
      </c>
      <c r="N354" t="s">
        <v>167</v>
      </c>
      <c r="O354" t="s">
        <v>451</v>
      </c>
      <c r="P354" t="s">
        <v>1233</v>
      </c>
      <c r="Q354">
        <v>0</v>
      </c>
      <c r="R354">
        <v>1.4350300000000001E-4</v>
      </c>
      <c r="S354" t="s">
        <v>1298</v>
      </c>
      <c r="T354" t="s">
        <v>444</v>
      </c>
      <c r="V354" s="2" t="s">
        <v>1360</v>
      </c>
      <c r="W354" t="s">
        <v>1199</v>
      </c>
      <c r="Y354" t="s">
        <v>1200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1</v>
      </c>
      <c r="AT354">
        <v>1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1</v>
      </c>
      <c r="FB354">
        <v>1</v>
      </c>
      <c r="FC354">
        <v>1</v>
      </c>
      <c r="FD354">
        <v>1</v>
      </c>
      <c r="FE354">
        <v>0</v>
      </c>
      <c r="FF354">
        <v>0</v>
      </c>
      <c r="FG354">
        <v>1</v>
      </c>
      <c r="FH354">
        <v>0</v>
      </c>
      <c r="FI354">
        <v>0</v>
      </c>
      <c r="FJ354">
        <v>1</v>
      </c>
    </row>
    <row r="355" spans="1:166" ht="28.8" x14ac:dyDescent="0.3">
      <c r="A355" t="s">
        <v>1234</v>
      </c>
      <c r="B355" t="s">
        <v>1235</v>
      </c>
      <c r="C355" t="s">
        <v>1410</v>
      </c>
      <c r="D355">
        <v>2021</v>
      </c>
      <c r="E355" t="s">
        <v>1198</v>
      </c>
      <c r="F355">
        <v>-24.65</v>
      </c>
      <c r="G355">
        <v>25.9</v>
      </c>
      <c r="H355" t="s">
        <v>166</v>
      </c>
      <c r="I355">
        <v>470</v>
      </c>
      <c r="J355" t="s">
        <v>166</v>
      </c>
      <c r="K355">
        <v>470</v>
      </c>
      <c r="L355" t="s">
        <v>167</v>
      </c>
      <c r="M355">
        <v>469</v>
      </c>
      <c r="N355" t="s">
        <v>167</v>
      </c>
      <c r="O355" t="s">
        <v>451</v>
      </c>
      <c r="P355" t="s">
        <v>1233</v>
      </c>
      <c r="Q355">
        <v>0</v>
      </c>
      <c r="R355">
        <v>1.4350300000000001E-4</v>
      </c>
      <c r="S355" t="s">
        <v>1298</v>
      </c>
      <c r="T355" t="s">
        <v>444</v>
      </c>
      <c r="V355" s="2" t="s">
        <v>1360</v>
      </c>
      <c r="W355" t="s">
        <v>1199</v>
      </c>
      <c r="Y355" t="s">
        <v>1200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1</v>
      </c>
      <c r="AT355">
        <v>1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1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1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0</v>
      </c>
      <c r="EK355">
        <v>0</v>
      </c>
      <c r="EL355">
        <v>1</v>
      </c>
      <c r="EM355">
        <v>1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1</v>
      </c>
      <c r="EY355">
        <v>1</v>
      </c>
      <c r="EZ355">
        <v>0</v>
      </c>
      <c r="FA355">
        <v>1</v>
      </c>
      <c r="FB355">
        <v>1</v>
      </c>
      <c r="FC355">
        <v>1</v>
      </c>
      <c r="FD355">
        <v>1</v>
      </c>
      <c r="FE355">
        <v>0</v>
      </c>
      <c r="FF355">
        <v>0</v>
      </c>
      <c r="FG355">
        <v>1</v>
      </c>
      <c r="FH355">
        <v>0</v>
      </c>
      <c r="FI355">
        <v>0</v>
      </c>
      <c r="FJ355">
        <v>1</v>
      </c>
    </row>
    <row r="356" spans="1:166" ht="28.8" x14ac:dyDescent="0.3">
      <c r="A356" t="s">
        <v>1236</v>
      </c>
      <c r="B356" t="s">
        <v>1237</v>
      </c>
      <c r="C356" t="s">
        <v>1401</v>
      </c>
      <c r="D356">
        <v>2022</v>
      </c>
      <c r="E356" t="s">
        <v>1198</v>
      </c>
      <c r="F356">
        <v>-24.65</v>
      </c>
      <c r="G356">
        <v>25.9</v>
      </c>
      <c r="H356" t="s">
        <v>166</v>
      </c>
      <c r="I356">
        <v>470</v>
      </c>
      <c r="J356" t="s">
        <v>166</v>
      </c>
      <c r="K356">
        <v>470</v>
      </c>
      <c r="L356" t="s">
        <v>167</v>
      </c>
      <c r="M356">
        <v>469</v>
      </c>
      <c r="N356" t="s">
        <v>167</v>
      </c>
      <c r="O356" t="s">
        <v>1238</v>
      </c>
      <c r="P356" t="s">
        <v>1239</v>
      </c>
      <c r="Q356">
        <v>0</v>
      </c>
      <c r="R356">
        <v>1.80108E-2</v>
      </c>
      <c r="S356" t="s">
        <v>1298</v>
      </c>
      <c r="T356" t="s">
        <v>444</v>
      </c>
      <c r="V356" s="2" t="s">
        <v>1360</v>
      </c>
      <c r="W356" t="s">
        <v>1199</v>
      </c>
      <c r="Y356" t="s">
        <v>1200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 t="s">
        <v>198</v>
      </c>
    </row>
    <row r="357" spans="1:166" ht="28.8" x14ac:dyDescent="0.3">
      <c r="A357" t="s">
        <v>1240</v>
      </c>
      <c r="B357" t="s">
        <v>1241</v>
      </c>
      <c r="C357" t="s">
        <v>1401</v>
      </c>
      <c r="D357">
        <v>2021</v>
      </c>
      <c r="E357" t="s">
        <v>1198</v>
      </c>
      <c r="F357">
        <v>-24.65</v>
      </c>
      <c r="G357">
        <v>25.9</v>
      </c>
      <c r="H357" t="s">
        <v>166</v>
      </c>
      <c r="I357">
        <v>470</v>
      </c>
      <c r="J357" t="s">
        <v>166</v>
      </c>
      <c r="K357">
        <v>470</v>
      </c>
      <c r="L357" t="s">
        <v>167</v>
      </c>
      <c r="M357">
        <v>469</v>
      </c>
      <c r="N357" t="s">
        <v>167</v>
      </c>
      <c r="O357" t="s">
        <v>451</v>
      </c>
      <c r="P357" t="s">
        <v>1242</v>
      </c>
      <c r="Q357">
        <v>0</v>
      </c>
      <c r="R357">
        <v>3.6120800000000002E-4</v>
      </c>
      <c r="S357" t="s">
        <v>1298</v>
      </c>
      <c r="T357" t="s">
        <v>444</v>
      </c>
      <c r="V357" s="2" t="s">
        <v>1360</v>
      </c>
      <c r="W357" t="s">
        <v>1199</v>
      </c>
      <c r="Y357" t="s">
        <v>1200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0</v>
      </c>
      <c r="EK357">
        <v>0</v>
      </c>
      <c r="EL357">
        <v>0</v>
      </c>
      <c r="EM357">
        <v>1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0</v>
      </c>
      <c r="FF357">
        <v>0</v>
      </c>
      <c r="FG357">
        <v>1</v>
      </c>
      <c r="FH357">
        <v>0</v>
      </c>
      <c r="FI357">
        <v>0</v>
      </c>
      <c r="FJ357">
        <v>1</v>
      </c>
    </row>
    <row r="358" spans="1:166" ht="28.8" x14ac:dyDescent="0.3">
      <c r="A358" t="s">
        <v>1243</v>
      </c>
      <c r="B358" t="s">
        <v>1244</v>
      </c>
      <c r="C358" t="s">
        <v>1403</v>
      </c>
      <c r="D358">
        <v>2021</v>
      </c>
      <c r="E358" t="s">
        <v>1198</v>
      </c>
      <c r="F358">
        <v>-24.65</v>
      </c>
      <c r="G358">
        <v>25.9</v>
      </c>
      <c r="H358" t="s">
        <v>166</v>
      </c>
      <c r="I358">
        <v>470</v>
      </c>
      <c r="J358" t="s">
        <v>166</v>
      </c>
      <c r="K358">
        <v>470</v>
      </c>
      <c r="L358" t="s">
        <v>167</v>
      </c>
      <c r="M358">
        <v>469</v>
      </c>
      <c r="N358" t="s">
        <v>167</v>
      </c>
      <c r="O358" t="s">
        <v>451</v>
      </c>
      <c r="P358" t="s">
        <v>1220</v>
      </c>
      <c r="Q358">
        <v>0</v>
      </c>
      <c r="R358">
        <v>1.67546E-4</v>
      </c>
      <c r="S358" t="s">
        <v>1298</v>
      </c>
      <c r="T358" t="s">
        <v>444</v>
      </c>
      <c r="V358" s="2" t="s">
        <v>1360</v>
      </c>
      <c r="W358" t="s">
        <v>1199</v>
      </c>
      <c r="Y358" t="s">
        <v>1200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0</v>
      </c>
      <c r="EK358">
        <v>0</v>
      </c>
      <c r="EL358">
        <v>1</v>
      </c>
      <c r="EM358">
        <v>1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1</v>
      </c>
      <c r="EZ358">
        <v>0</v>
      </c>
      <c r="FA358">
        <v>1</v>
      </c>
      <c r="FB358">
        <v>1</v>
      </c>
      <c r="FC358">
        <v>1</v>
      </c>
      <c r="FD358">
        <v>1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1</v>
      </c>
    </row>
    <row r="359" spans="1:166" ht="28.8" x14ac:dyDescent="0.3">
      <c r="A359" t="s">
        <v>1245</v>
      </c>
      <c r="B359" t="s">
        <v>1246</v>
      </c>
      <c r="C359" t="s">
        <v>1403</v>
      </c>
      <c r="D359">
        <v>2022</v>
      </c>
      <c r="E359" t="s">
        <v>1198</v>
      </c>
      <c r="F359">
        <v>-24.65</v>
      </c>
      <c r="G359">
        <v>25.9</v>
      </c>
      <c r="H359" t="s">
        <v>166</v>
      </c>
      <c r="I359">
        <v>470</v>
      </c>
      <c r="J359" t="s">
        <v>166</v>
      </c>
      <c r="K359">
        <v>470</v>
      </c>
      <c r="L359" t="s">
        <v>167</v>
      </c>
      <c r="M359">
        <v>469</v>
      </c>
      <c r="N359" t="s">
        <v>167</v>
      </c>
      <c r="O359" t="s">
        <v>451</v>
      </c>
      <c r="P359" t="s">
        <v>899</v>
      </c>
      <c r="Q359">
        <v>0</v>
      </c>
      <c r="R359" s="1" t="s">
        <v>900</v>
      </c>
      <c r="S359" t="s">
        <v>1298</v>
      </c>
      <c r="T359" t="s">
        <v>444</v>
      </c>
      <c r="V359" s="2" t="s">
        <v>1360</v>
      </c>
      <c r="W359" t="s">
        <v>1199</v>
      </c>
      <c r="Y359" t="s">
        <v>1200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1</v>
      </c>
      <c r="AT359">
        <v>1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1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0</v>
      </c>
      <c r="FF359">
        <v>0</v>
      </c>
      <c r="FG359">
        <v>1</v>
      </c>
      <c r="FH359">
        <v>0</v>
      </c>
      <c r="FI359">
        <v>0</v>
      </c>
      <c r="FJ359">
        <v>1</v>
      </c>
    </row>
    <row r="360" spans="1:166" ht="28.8" x14ac:dyDescent="0.3">
      <c r="A360" t="s">
        <v>1247</v>
      </c>
      <c r="B360" t="s">
        <v>1248</v>
      </c>
      <c r="C360" t="s">
        <v>1407</v>
      </c>
      <c r="D360">
        <v>2022</v>
      </c>
      <c r="E360" t="s">
        <v>1198</v>
      </c>
      <c r="F360">
        <v>-24.65</v>
      </c>
      <c r="G360">
        <v>25.9</v>
      </c>
      <c r="H360" t="s">
        <v>166</v>
      </c>
      <c r="I360">
        <v>470</v>
      </c>
      <c r="J360" t="s">
        <v>166</v>
      </c>
      <c r="K360">
        <v>470</v>
      </c>
      <c r="L360" t="s">
        <v>167</v>
      </c>
      <c r="M360">
        <v>469</v>
      </c>
      <c r="N360" t="s">
        <v>167</v>
      </c>
      <c r="O360" t="s">
        <v>451</v>
      </c>
      <c r="P360" t="s">
        <v>1249</v>
      </c>
      <c r="Q360">
        <v>0</v>
      </c>
      <c r="R360">
        <v>1.91626E-4</v>
      </c>
      <c r="S360" t="s">
        <v>1298</v>
      </c>
      <c r="T360" t="s">
        <v>444</v>
      </c>
      <c r="V360" s="2" t="s">
        <v>1360</v>
      </c>
      <c r="W360" t="s">
        <v>1199</v>
      </c>
      <c r="Y360" t="s">
        <v>1200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1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1</v>
      </c>
      <c r="AT360">
        <v>1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</v>
      </c>
      <c r="EJ360">
        <v>0</v>
      </c>
      <c r="EK360">
        <v>0</v>
      </c>
      <c r="EL360">
        <v>1</v>
      </c>
      <c r="EM360">
        <v>1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1</v>
      </c>
      <c r="EY360">
        <v>1</v>
      </c>
      <c r="EZ360">
        <v>0</v>
      </c>
      <c r="FA360">
        <v>1</v>
      </c>
      <c r="FB360">
        <v>1</v>
      </c>
      <c r="FC360">
        <v>1</v>
      </c>
      <c r="FD360">
        <v>1</v>
      </c>
      <c r="FE360">
        <v>0</v>
      </c>
      <c r="FF360">
        <v>0</v>
      </c>
      <c r="FG360">
        <v>1</v>
      </c>
      <c r="FH360">
        <v>0</v>
      </c>
      <c r="FI360">
        <v>0</v>
      </c>
      <c r="FJ360">
        <v>1</v>
      </c>
    </row>
    <row r="361" spans="1:166" ht="28.8" x14ac:dyDescent="0.3">
      <c r="A361" t="s">
        <v>1250</v>
      </c>
      <c r="B361" t="s">
        <v>1251</v>
      </c>
      <c r="C361" t="s">
        <v>1407</v>
      </c>
      <c r="D361">
        <v>2022</v>
      </c>
      <c r="E361" t="s">
        <v>1198</v>
      </c>
      <c r="F361">
        <v>-24.65</v>
      </c>
      <c r="G361">
        <v>25.9</v>
      </c>
      <c r="H361" t="s">
        <v>166</v>
      </c>
      <c r="I361">
        <v>470</v>
      </c>
      <c r="J361" t="s">
        <v>166</v>
      </c>
      <c r="K361">
        <v>470</v>
      </c>
      <c r="L361" t="s">
        <v>167</v>
      </c>
      <c r="M361">
        <v>469</v>
      </c>
      <c r="N361" t="s">
        <v>167</v>
      </c>
      <c r="O361" t="s">
        <v>451</v>
      </c>
      <c r="P361" t="s">
        <v>1249</v>
      </c>
      <c r="Q361">
        <v>0</v>
      </c>
      <c r="R361">
        <v>1.91626E-4</v>
      </c>
      <c r="S361" t="s">
        <v>1298</v>
      </c>
      <c r="T361" t="s">
        <v>444</v>
      </c>
      <c r="V361" s="2" t="s">
        <v>1360</v>
      </c>
      <c r="W361" t="s">
        <v>1199</v>
      </c>
      <c r="Y361" t="s">
        <v>1200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1</v>
      </c>
      <c r="AS361">
        <v>1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1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0</v>
      </c>
      <c r="EK361">
        <v>0</v>
      </c>
      <c r="EL361">
        <v>1</v>
      </c>
      <c r="EM361">
        <v>1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1</v>
      </c>
      <c r="EY361">
        <v>1</v>
      </c>
      <c r="EZ361">
        <v>0</v>
      </c>
      <c r="FA361">
        <v>1</v>
      </c>
      <c r="FB361">
        <v>1</v>
      </c>
      <c r="FC361">
        <v>1</v>
      </c>
      <c r="FD361">
        <v>1</v>
      </c>
      <c r="FE361">
        <v>0</v>
      </c>
      <c r="FF361">
        <v>0</v>
      </c>
      <c r="FG361">
        <v>1</v>
      </c>
      <c r="FH361">
        <v>0</v>
      </c>
      <c r="FI361">
        <v>0</v>
      </c>
      <c r="FJ361">
        <v>1</v>
      </c>
    </row>
    <row r="362" spans="1:166" ht="28.8" x14ac:dyDescent="0.3">
      <c r="A362" t="s">
        <v>1252</v>
      </c>
      <c r="B362" t="s">
        <v>1253</v>
      </c>
      <c r="C362" t="s">
        <v>1407</v>
      </c>
      <c r="D362">
        <v>2022</v>
      </c>
      <c r="E362" t="s">
        <v>1198</v>
      </c>
      <c r="F362">
        <v>-24.65</v>
      </c>
      <c r="G362">
        <v>25.9</v>
      </c>
      <c r="H362" t="s">
        <v>166</v>
      </c>
      <c r="I362">
        <v>470</v>
      </c>
      <c r="J362" t="s">
        <v>166</v>
      </c>
      <c r="K362">
        <v>470</v>
      </c>
      <c r="L362" t="s">
        <v>167</v>
      </c>
      <c r="M362">
        <v>469</v>
      </c>
      <c r="N362" t="s">
        <v>167</v>
      </c>
      <c r="O362" t="s">
        <v>451</v>
      </c>
      <c r="P362" t="s">
        <v>1254</v>
      </c>
      <c r="Q362">
        <v>0</v>
      </c>
      <c r="R362">
        <v>2.15742E-4</v>
      </c>
      <c r="S362" t="s">
        <v>1298</v>
      </c>
      <c r="T362" t="s">
        <v>444</v>
      </c>
      <c r="V362" s="2" t="s">
        <v>1360</v>
      </c>
      <c r="W362" t="s">
        <v>1199</v>
      </c>
      <c r="Y362" t="s">
        <v>1200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1</v>
      </c>
      <c r="AT362">
        <v>1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1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1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1</v>
      </c>
      <c r="EI362">
        <v>0</v>
      </c>
      <c r="EJ362">
        <v>0</v>
      </c>
      <c r="EK362">
        <v>0</v>
      </c>
      <c r="EL362">
        <v>1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1</v>
      </c>
      <c r="EY362">
        <v>1</v>
      </c>
      <c r="EZ362">
        <v>0</v>
      </c>
      <c r="FA362">
        <v>1</v>
      </c>
      <c r="FB362">
        <v>1</v>
      </c>
      <c r="FC362">
        <v>1</v>
      </c>
      <c r="FD362">
        <v>1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1</v>
      </c>
    </row>
    <row r="363" spans="1:166" ht="28.8" x14ac:dyDescent="0.3">
      <c r="A363" t="s">
        <v>1255</v>
      </c>
      <c r="B363" t="s">
        <v>1256</v>
      </c>
      <c r="C363" t="s">
        <v>1407</v>
      </c>
      <c r="D363">
        <v>2022</v>
      </c>
      <c r="E363" t="s">
        <v>1198</v>
      </c>
      <c r="F363">
        <v>-24.65</v>
      </c>
      <c r="G363">
        <v>25.9</v>
      </c>
      <c r="H363" t="s">
        <v>166</v>
      </c>
      <c r="I363">
        <v>470</v>
      </c>
      <c r="J363" t="s">
        <v>166</v>
      </c>
      <c r="K363">
        <v>470</v>
      </c>
      <c r="L363" t="s">
        <v>167</v>
      </c>
      <c r="M363">
        <v>469</v>
      </c>
      <c r="N363" t="s">
        <v>167</v>
      </c>
      <c r="O363" t="s">
        <v>451</v>
      </c>
      <c r="P363" t="s">
        <v>1233</v>
      </c>
      <c r="Q363">
        <v>0</v>
      </c>
      <c r="R363">
        <v>1.4350300000000001E-4</v>
      </c>
      <c r="S363" t="s">
        <v>1298</v>
      </c>
      <c r="T363" t="s">
        <v>444</v>
      </c>
      <c r="V363" s="2" t="s">
        <v>1360</v>
      </c>
      <c r="W363" t="s">
        <v>1199</v>
      </c>
      <c r="Y363" t="s">
        <v>1200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1</v>
      </c>
      <c r="AT363">
        <v>1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0</v>
      </c>
      <c r="EK363">
        <v>0</v>
      </c>
      <c r="EL363">
        <v>1</v>
      </c>
      <c r="EM363">
        <v>1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</v>
      </c>
      <c r="EY363">
        <v>1</v>
      </c>
      <c r="EZ363">
        <v>0</v>
      </c>
      <c r="FA363">
        <v>1</v>
      </c>
      <c r="FB363">
        <v>1</v>
      </c>
      <c r="FC363">
        <v>1</v>
      </c>
      <c r="FD363">
        <v>1</v>
      </c>
      <c r="FE363">
        <v>0</v>
      </c>
      <c r="FF363">
        <v>0</v>
      </c>
      <c r="FG363">
        <v>1</v>
      </c>
      <c r="FH363">
        <v>0</v>
      </c>
      <c r="FI363">
        <v>0</v>
      </c>
      <c r="FJ363">
        <v>1</v>
      </c>
    </row>
    <row r="364" spans="1:166" ht="28.8" x14ac:dyDescent="0.3">
      <c r="A364" t="s">
        <v>1257</v>
      </c>
      <c r="B364" t="s">
        <v>1258</v>
      </c>
      <c r="C364" t="s">
        <v>1401</v>
      </c>
      <c r="D364">
        <v>2022</v>
      </c>
      <c r="E364" t="s">
        <v>1198</v>
      </c>
      <c r="F364">
        <v>-24.65</v>
      </c>
      <c r="G364">
        <v>25.9</v>
      </c>
      <c r="H364" t="s">
        <v>166</v>
      </c>
      <c r="I364">
        <v>470</v>
      </c>
      <c r="J364" t="s">
        <v>166</v>
      </c>
      <c r="K364">
        <v>470</v>
      </c>
      <c r="L364" t="s">
        <v>167</v>
      </c>
      <c r="M364">
        <v>469</v>
      </c>
      <c r="N364" t="s">
        <v>167</v>
      </c>
      <c r="O364" t="s">
        <v>1259</v>
      </c>
      <c r="P364" t="s">
        <v>585</v>
      </c>
      <c r="Q364">
        <v>0</v>
      </c>
      <c r="R364">
        <v>1.8389999999999999E-3</v>
      </c>
      <c r="S364" t="s">
        <v>1298</v>
      </c>
      <c r="T364" t="s">
        <v>444</v>
      </c>
      <c r="V364" s="2" t="s">
        <v>1360</v>
      </c>
      <c r="W364" t="s">
        <v>1199</v>
      </c>
      <c r="Y364" t="s">
        <v>1200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1438</v>
      </c>
    </row>
    <row r="365" spans="1:166" ht="28.8" x14ac:dyDescent="0.3">
      <c r="A365" t="s">
        <v>1260</v>
      </c>
      <c r="B365" t="s">
        <v>1261</v>
      </c>
      <c r="C365" t="s">
        <v>1404</v>
      </c>
      <c r="D365">
        <v>2021</v>
      </c>
      <c r="E365" t="s">
        <v>1198</v>
      </c>
      <c r="F365">
        <v>-24.65</v>
      </c>
      <c r="G365">
        <v>25.9</v>
      </c>
      <c r="H365" t="s">
        <v>166</v>
      </c>
      <c r="I365">
        <v>470</v>
      </c>
      <c r="J365" t="s">
        <v>166</v>
      </c>
      <c r="K365">
        <v>470</v>
      </c>
      <c r="L365" t="s">
        <v>167</v>
      </c>
      <c r="M365">
        <v>469</v>
      </c>
      <c r="N365" t="s">
        <v>167</v>
      </c>
      <c r="O365" t="s">
        <v>451</v>
      </c>
      <c r="P365" t="s">
        <v>899</v>
      </c>
      <c r="Q365">
        <v>0</v>
      </c>
      <c r="R365" s="1" t="s">
        <v>900</v>
      </c>
      <c r="S365" t="s">
        <v>1298</v>
      </c>
      <c r="T365" t="s">
        <v>444</v>
      </c>
      <c r="V365" s="2" t="s">
        <v>1360</v>
      </c>
      <c r="W365" t="s">
        <v>1199</v>
      </c>
      <c r="Y365" t="s">
        <v>1200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1</v>
      </c>
      <c r="AT365">
        <v>1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0</v>
      </c>
      <c r="EK365">
        <v>0</v>
      </c>
      <c r="EL365">
        <v>1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1</v>
      </c>
      <c r="EY365">
        <v>1</v>
      </c>
      <c r="EZ365">
        <v>0</v>
      </c>
      <c r="FA365">
        <v>1</v>
      </c>
      <c r="FB365">
        <v>1</v>
      </c>
      <c r="FC365">
        <v>1</v>
      </c>
      <c r="FD365">
        <v>1</v>
      </c>
      <c r="FE365">
        <v>0</v>
      </c>
      <c r="FF365">
        <v>0</v>
      </c>
      <c r="FG365">
        <v>1</v>
      </c>
      <c r="FH365">
        <v>0</v>
      </c>
      <c r="FI365">
        <v>0</v>
      </c>
      <c r="FJ365">
        <v>1</v>
      </c>
    </row>
    <row r="366" spans="1:166" ht="28.8" x14ac:dyDescent="0.3">
      <c r="A366" t="s">
        <v>1262</v>
      </c>
      <c r="B366" t="s">
        <v>1263</v>
      </c>
      <c r="C366" t="s">
        <v>1404</v>
      </c>
      <c r="D366">
        <v>2021</v>
      </c>
      <c r="E366" t="s">
        <v>1198</v>
      </c>
      <c r="F366">
        <v>-24.65</v>
      </c>
      <c r="G366">
        <v>25.9</v>
      </c>
      <c r="H366" t="s">
        <v>166</v>
      </c>
      <c r="I366">
        <v>470</v>
      </c>
      <c r="J366" t="s">
        <v>166</v>
      </c>
      <c r="K366">
        <v>470</v>
      </c>
      <c r="L366" t="s">
        <v>167</v>
      </c>
      <c r="M366">
        <v>469</v>
      </c>
      <c r="N366" t="s">
        <v>167</v>
      </c>
      <c r="O366" t="s">
        <v>451</v>
      </c>
      <c r="P366" t="s">
        <v>899</v>
      </c>
      <c r="Q366">
        <v>0</v>
      </c>
      <c r="R366" s="1" t="s">
        <v>900</v>
      </c>
      <c r="S366" t="s">
        <v>1340</v>
      </c>
      <c r="T366" t="s">
        <v>444</v>
      </c>
      <c r="V366" s="2" t="s">
        <v>1360</v>
      </c>
      <c r="W366" t="s">
        <v>1199</v>
      </c>
      <c r="Y366" t="s">
        <v>1200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1</v>
      </c>
      <c r="AT366">
        <v>1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0</v>
      </c>
      <c r="EK366">
        <v>0</v>
      </c>
      <c r="EL366">
        <v>1</v>
      </c>
      <c r="EM366">
        <v>1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1</v>
      </c>
      <c r="EZ366">
        <v>0</v>
      </c>
      <c r="FA366">
        <v>1</v>
      </c>
      <c r="FB366">
        <v>1</v>
      </c>
      <c r="FC366">
        <v>1</v>
      </c>
      <c r="FD366">
        <v>1</v>
      </c>
      <c r="FE366">
        <v>0</v>
      </c>
      <c r="FF366">
        <v>0</v>
      </c>
      <c r="FG366">
        <v>1</v>
      </c>
      <c r="FH366">
        <v>0</v>
      </c>
      <c r="FI366">
        <v>0</v>
      </c>
      <c r="FJ366">
        <v>1</v>
      </c>
    </row>
    <row r="367" spans="1:166" ht="28.8" x14ac:dyDescent="0.3">
      <c r="A367" t="s">
        <v>1264</v>
      </c>
      <c r="B367" t="s">
        <v>1265</v>
      </c>
      <c r="C367" t="s">
        <v>1404</v>
      </c>
      <c r="D367">
        <v>2021</v>
      </c>
      <c r="E367" t="s">
        <v>1198</v>
      </c>
      <c r="F367">
        <v>-24.65</v>
      </c>
      <c r="G367">
        <v>25.9</v>
      </c>
      <c r="H367" t="s">
        <v>166</v>
      </c>
      <c r="I367">
        <v>470</v>
      </c>
      <c r="J367" t="s">
        <v>166</v>
      </c>
      <c r="K367">
        <v>470</v>
      </c>
      <c r="L367" t="s">
        <v>167</v>
      </c>
      <c r="M367">
        <v>469</v>
      </c>
      <c r="N367" t="s">
        <v>167</v>
      </c>
      <c r="O367" t="s">
        <v>451</v>
      </c>
      <c r="P367" t="s">
        <v>899</v>
      </c>
      <c r="Q367">
        <v>0</v>
      </c>
      <c r="R367" s="1" t="s">
        <v>900</v>
      </c>
      <c r="S367" t="s">
        <v>1341</v>
      </c>
      <c r="T367" t="s">
        <v>1322</v>
      </c>
      <c r="V367" s="2" t="s">
        <v>1360</v>
      </c>
      <c r="W367" t="s">
        <v>1199</v>
      </c>
      <c r="Y367" t="s">
        <v>1200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1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1</v>
      </c>
      <c r="AT367">
        <v>1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1</v>
      </c>
      <c r="EI367">
        <v>0</v>
      </c>
      <c r="EJ367">
        <v>0</v>
      </c>
      <c r="EK367">
        <v>0</v>
      </c>
      <c r="EL367">
        <v>1</v>
      </c>
      <c r="EM367">
        <v>1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1</v>
      </c>
      <c r="EY367">
        <v>1</v>
      </c>
      <c r="EZ367">
        <v>0</v>
      </c>
      <c r="FA367">
        <v>1</v>
      </c>
      <c r="FB367">
        <v>1</v>
      </c>
      <c r="FC367">
        <v>1</v>
      </c>
      <c r="FD367">
        <v>1</v>
      </c>
      <c r="FE367">
        <v>0</v>
      </c>
      <c r="FF367">
        <v>0</v>
      </c>
      <c r="FG367">
        <v>1</v>
      </c>
      <c r="FH367">
        <v>0</v>
      </c>
      <c r="FI367">
        <v>0</v>
      </c>
      <c r="FJ367">
        <v>1</v>
      </c>
    </row>
    <row r="368" spans="1:166" ht="28.8" x14ac:dyDescent="0.3">
      <c r="A368" t="s">
        <v>1266</v>
      </c>
      <c r="B368" t="s">
        <v>1267</v>
      </c>
      <c r="C368" t="s">
        <v>1404</v>
      </c>
      <c r="D368">
        <v>2021</v>
      </c>
      <c r="E368" t="s">
        <v>1198</v>
      </c>
      <c r="F368">
        <v>-24.65</v>
      </c>
      <c r="G368">
        <v>25.9</v>
      </c>
      <c r="H368" t="s">
        <v>166</v>
      </c>
      <c r="I368">
        <v>470</v>
      </c>
      <c r="J368" t="s">
        <v>166</v>
      </c>
      <c r="K368">
        <v>470</v>
      </c>
      <c r="L368" t="s">
        <v>167</v>
      </c>
      <c r="M368">
        <v>469</v>
      </c>
      <c r="N368" t="s">
        <v>167</v>
      </c>
      <c r="O368" t="s">
        <v>451</v>
      </c>
      <c r="P368" t="s">
        <v>899</v>
      </c>
      <c r="Q368">
        <v>0</v>
      </c>
      <c r="R368" s="1" t="s">
        <v>900</v>
      </c>
      <c r="S368" t="s">
        <v>1339</v>
      </c>
      <c r="T368" t="s">
        <v>1322</v>
      </c>
      <c r="V368" s="2" t="s">
        <v>1360</v>
      </c>
      <c r="W368" t="s">
        <v>1199</v>
      </c>
      <c r="Y368" t="s">
        <v>1200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1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1</v>
      </c>
      <c r="AT368">
        <v>1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1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1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1</v>
      </c>
      <c r="EI368">
        <v>0</v>
      </c>
      <c r="EJ368">
        <v>0</v>
      </c>
      <c r="EK368">
        <v>0</v>
      </c>
      <c r="EL368">
        <v>1</v>
      </c>
      <c r="EM368">
        <v>1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</v>
      </c>
      <c r="EY368">
        <v>1</v>
      </c>
      <c r="EZ368">
        <v>0</v>
      </c>
      <c r="FA368">
        <v>1</v>
      </c>
      <c r="FB368">
        <v>1</v>
      </c>
      <c r="FC368">
        <v>1</v>
      </c>
      <c r="FD368">
        <v>1</v>
      </c>
      <c r="FE368">
        <v>0</v>
      </c>
      <c r="FF368">
        <v>0</v>
      </c>
      <c r="FG368">
        <v>1</v>
      </c>
      <c r="FH368">
        <v>0</v>
      </c>
      <c r="FI368">
        <v>0</v>
      </c>
      <c r="FJ368">
        <v>1</v>
      </c>
    </row>
    <row r="369" spans="1:166" ht="28.8" x14ac:dyDescent="0.3">
      <c r="A369" t="s">
        <v>1268</v>
      </c>
      <c r="B369" t="s">
        <v>1269</v>
      </c>
      <c r="C369" t="s">
        <v>1404</v>
      </c>
      <c r="D369">
        <v>2021</v>
      </c>
      <c r="E369" t="s">
        <v>1198</v>
      </c>
      <c r="F369">
        <v>-24.65</v>
      </c>
      <c r="G369">
        <v>25.9</v>
      </c>
      <c r="H369" t="s">
        <v>166</v>
      </c>
      <c r="I369">
        <v>470</v>
      </c>
      <c r="J369" t="s">
        <v>166</v>
      </c>
      <c r="K369">
        <v>470</v>
      </c>
      <c r="L369" t="s">
        <v>167</v>
      </c>
      <c r="M369">
        <v>469</v>
      </c>
      <c r="N369" t="s">
        <v>167</v>
      </c>
      <c r="O369" t="s">
        <v>1207</v>
      </c>
      <c r="P369" t="s">
        <v>1208</v>
      </c>
      <c r="Q369">
        <v>0</v>
      </c>
      <c r="R369">
        <v>7.4132099999999999E-3</v>
      </c>
      <c r="S369" t="s">
        <v>1342</v>
      </c>
      <c r="T369" t="s">
        <v>1322</v>
      </c>
      <c r="V369" s="2" t="s">
        <v>1360</v>
      </c>
      <c r="W369" t="s">
        <v>1199</v>
      </c>
      <c r="Y369" t="s">
        <v>1200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152</v>
      </c>
    </row>
    <row r="370" spans="1:166" ht="43.2" x14ac:dyDescent="0.3">
      <c r="A370" t="s">
        <v>1270</v>
      </c>
      <c r="B370" t="s">
        <v>1271</v>
      </c>
      <c r="C370" t="s">
        <v>1404</v>
      </c>
      <c r="D370">
        <v>2007</v>
      </c>
      <c r="E370" t="s">
        <v>1069</v>
      </c>
      <c r="F370">
        <v>21</v>
      </c>
      <c r="G370">
        <v>105.83</v>
      </c>
      <c r="H370" t="s">
        <v>166</v>
      </c>
      <c r="I370">
        <v>470</v>
      </c>
      <c r="J370" t="s">
        <v>166</v>
      </c>
      <c r="K370">
        <v>470</v>
      </c>
      <c r="L370" t="s">
        <v>167</v>
      </c>
      <c r="M370">
        <v>469</v>
      </c>
      <c r="N370" t="s">
        <v>167</v>
      </c>
      <c r="O370" t="s">
        <v>1272</v>
      </c>
      <c r="P370" t="s">
        <v>1214</v>
      </c>
      <c r="Q370">
        <v>0</v>
      </c>
      <c r="R370" s="1" t="s">
        <v>1215</v>
      </c>
      <c r="S370" t="s">
        <v>1343</v>
      </c>
      <c r="T370" t="s">
        <v>444</v>
      </c>
      <c r="V370" s="2" t="s">
        <v>1358</v>
      </c>
      <c r="W370" t="s">
        <v>1070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1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1</v>
      </c>
      <c r="FB370">
        <v>0</v>
      </c>
      <c r="FC370">
        <v>1</v>
      </c>
      <c r="FD370">
        <v>0</v>
      </c>
      <c r="FE370">
        <v>0</v>
      </c>
      <c r="FF370">
        <v>1</v>
      </c>
      <c r="FG370">
        <v>0</v>
      </c>
      <c r="FH370">
        <v>0</v>
      </c>
      <c r="FI370">
        <v>0</v>
      </c>
      <c r="FJ370">
        <v>1</v>
      </c>
    </row>
    <row r="371" spans="1:166" ht="21.9" customHeight="1" x14ac:dyDescent="0.3">
      <c r="A371" t="s">
        <v>1273</v>
      </c>
      <c r="B371" t="s">
        <v>1274</v>
      </c>
      <c r="C371" t="s">
        <v>1400</v>
      </c>
      <c r="D371">
        <v>2015</v>
      </c>
      <c r="E371" t="s">
        <v>1275</v>
      </c>
      <c r="F371">
        <v>6.6665999999999999</v>
      </c>
      <c r="G371">
        <v>-1.6163000000000001</v>
      </c>
      <c r="H371" t="s">
        <v>166</v>
      </c>
      <c r="I371">
        <v>470</v>
      </c>
      <c r="J371" t="s">
        <v>166</v>
      </c>
      <c r="K371">
        <v>470</v>
      </c>
      <c r="L371" t="s">
        <v>167</v>
      </c>
      <c r="M371">
        <v>469</v>
      </c>
      <c r="N371" t="s">
        <v>167</v>
      </c>
      <c r="O371" t="s">
        <v>826</v>
      </c>
      <c r="P371" t="s">
        <v>1276</v>
      </c>
      <c r="Q371">
        <v>0</v>
      </c>
      <c r="R371">
        <v>1.19496E-4</v>
      </c>
      <c r="S371" t="s">
        <v>1281</v>
      </c>
      <c r="T371" t="s">
        <v>444</v>
      </c>
      <c r="U371" t="s">
        <v>1344</v>
      </c>
      <c r="V371" s="2" t="s">
        <v>1361</v>
      </c>
      <c r="W371" s="2" t="s">
        <v>1277</v>
      </c>
      <c r="X371" t="s">
        <v>1278</v>
      </c>
      <c r="Y371" t="s">
        <v>869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1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164</v>
      </c>
    </row>
    <row r="372" spans="1:166" ht="19.5" customHeight="1" x14ac:dyDescent="0.3">
      <c r="A372" t="s">
        <v>1279</v>
      </c>
      <c r="B372" t="s">
        <v>1280</v>
      </c>
      <c r="C372" t="s">
        <v>1400</v>
      </c>
      <c r="D372">
        <v>2015</v>
      </c>
      <c r="E372" t="s">
        <v>1275</v>
      </c>
      <c r="F372">
        <v>6.6665999999999999</v>
      </c>
      <c r="G372">
        <v>-1.6163000000000001</v>
      </c>
      <c r="H372" t="s">
        <v>166</v>
      </c>
      <c r="I372">
        <v>470</v>
      </c>
      <c r="J372" t="s">
        <v>166</v>
      </c>
      <c r="K372">
        <v>470</v>
      </c>
      <c r="L372" t="s">
        <v>167</v>
      </c>
      <c r="M372">
        <v>469</v>
      </c>
      <c r="N372" t="s">
        <v>167</v>
      </c>
      <c r="O372" t="s">
        <v>826</v>
      </c>
      <c r="P372" t="s">
        <v>899</v>
      </c>
      <c r="Q372">
        <v>0</v>
      </c>
      <c r="R372" s="1" t="s">
        <v>900</v>
      </c>
      <c r="S372" t="s">
        <v>1301</v>
      </c>
      <c r="T372" t="s">
        <v>444</v>
      </c>
      <c r="U372" t="s">
        <v>1345</v>
      </c>
      <c r="V372" s="2" t="s">
        <v>1361</v>
      </c>
      <c r="W372" s="2" t="s">
        <v>1277</v>
      </c>
      <c r="X372" t="s">
        <v>1278</v>
      </c>
      <c r="Y372" t="s">
        <v>869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1</v>
      </c>
      <c r="FE372">
        <v>1</v>
      </c>
      <c r="FF372">
        <v>0</v>
      </c>
      <c r="FG372">
        <v>0</v>
      </c>
      <c r="FH372">
        <v>0</v>
      </c>
      <c r="FI372">
        <v>0</v>
      </c>
      <c r="FJ372">
        <v>164</v>
      </c>
    </row>
    <row r="373" spans="1:166" ht="57.6" x14ac:dyDescent="0.3">
      <c r="A373" t="s">
        <v>1282</v>
      </c>
      <c r="B373" t="s">
        <v>1283</v>
      </c>
      <c r="C373" t="s">
        <v>1400</v>
      </c>
      <c r="D373">
        <v>2019</v>
      </c>
      <c r="E373" t="s">
        <v>1284</v>
      </c>
      <c r="F373">
        <v>15.16</v>
      </c>
      <c r="G373">
        <v>31.5</v>
      </c>
      <c r="H373" t="s">
        <v>166</v>
      </c>
      <c r="I373">
        <v>470</v>
      </c>
      <c r="J373" t="s">
        <v>166</v>
      </c>
      <c r="K373">
        <v>470</v>
      </c>
      <c r="L373" t="s">
        <v>167</v>
      </c>
      <c r="M373">
        <v>469</v>
      </c>
      <c r="N373" t="s">
        <v>167</v>
      </c>
      <c r="O373" t="s">
        <v>829</v>
      </c>
      <c r="P373" t="s">
        <v>456</v>
      </c>
      <c r="Q373">
        <v>0</v>
      </c>
      <c r="R373" s="1" t="s">
        <v>457</v>
      </c>
      <c r="S373" t="s">
        <v>1285</v>
      </c>
      <c r="T373" t="s">
        <v>444</v>
      </c>
      <c r="U373" t="s">
        <v>1312</v>
      </c>
      <c r="V373" s="2" t="s">
        <v>1362</v>
      </c>
      <c r="W373" t="s">
        <v>1286</v>
      </c>
      <c r="X373" t="s">
        <v>1287</v>
      </c>
      <c r="Y373" t="s">
        <v>1288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164</v>
      </c>
    </row>
    <row r="376" spans="1:166" x14ac:dyDescent="0.3">
      <c r="X376" t="s">
        <v>1412</v>
      </c>
      <c r="Z376">
        <f>SUM(Z2:Z373)</f>
        <v>21</v>
      </c>
      <c r="AA376">
        <f t="shared" ref="AA376:CL376" si="0">SUM(AA2:AA373)</f>
        <v>5</v>
      </c>
      <c r="AB376">
        <f t="shared" si="0"/>
        <v>93</v>
      </c>
      <c r="AC376">
        <f t="shared" si="0"/>
        <v>5</v>
      </c>
      <c r="AD376">
        <f t="shared" si="0"/>
        <v>19</v>
      </c>
      <c r="AE376">
        <f t="shared" si="0"/>
        <v>10</v>
      </c>
      <c r="AF376">
        <f t="shared" si="0"/>
        <v>7</v>
      </c>
      <c r="AG376">
        <f t="shared" si="0"/>
        <v>10</v>
      </c>
      <c r="AH376">
        <f t="shared" si="0"/>
        <v>112</v>
      </c>
      <c r="AI376">
        <f t="shared" si="0"/>
        <v>10</v>
      </c>
      <c r="AJ376">
        <f t="shared" si="0"/>
        <v>102</v>
      </c>
      <c r="AK376">
        <f t="shared" si="0"/>
        <v>370</v>
      </c>
      <c r="AL376">
        <f t="shared" si="0"/>
        <v>225</v>
      </c>
      <c r="AM376">
        <f t="shared" si="0"/>
        <v>120</v>
      </c>
      <c r="AN376">
        <f t="shared" si="0"/>
        <v>1</v>
      </c>
      <c r="AO376">
        <f t="shared" si="0"/>
        <v>36</v>
      </c>
      <c r="AP376">
        <f t="shared" si="0"/>
        <v>72</v>
      </c>
      <c r="AQ376">
        <f t="shared" si="0"/>
        <v>4</v>
      </c>
      <c r="AR376">
        <f t="shared" si="0"/>
        <v>227</v>
      </c>
      <c r="AS376">
        <f t="shared" si="0"/>
        <v>122</v>
      </c>
      <c r="AT376">
        <f t="shared" si="0"/>
        <v>47</v>
      </c>
      <c r="AU376">
        <f t="shared" si="0"/>
        <v>7</v>
      </c>
      <c r="AV376">
        <f t="shared" si="0"/>
        <v>74</v>
      </c>
      <c r="AW376">
        <f t="shared" si="0"/>
        <v>1</v>
      </c>
      <c r="AX376">
        <f t="shared" si="0"/>
        <v>3</v>
      </c>
      <c r="AY376">
        <f t="shared" si="0"/>
        <v>1</v>
      </c>
      <c r="AZ376">
        <f t="shared" si="0"/>
        <v>1</v>
      </c>
      <c r="BA376">
        <f t="shared" si="0"/>
        <v>10</v>
      </c>
      <c r="BB376">
        <f t="shared" si="0"/>
        <v>2</v>
      </c>
      <c r="BC376">
        <f t="shared" si="0"/>
        <v>3</v>
      </c>
      <c r="BD376">
        <f t="shared" si="0"/>
        <v>4</v>
      </c>
      <c r="BE376">
        <f t="shared" si="0"/>
        <v>7</v>
      </c>
      <c r="BF376">
        <f t="shared" si="0"/>
        <v>3</v>
      </c>
      <c r="BG376">
        <f t="shared" si="0"/>
        <v>2</v>
      </c>
      <c r="BH376">
        <f t="shared" si="0"/>
        <v>1</v>
      </c>
      <c r="BI376">
        <f t="shared" si="0"/>
        <v>20</v>
      </c>
      <c r="BJ376">
        <f t="shared" si="0"/>
        <v>2</v>
      </c>
      <c r="BK376">
        <f t="shared" si="0"/>
        <v>3</v>
      </c>
      <c r="BL376">
        <f t="shared" si="0"/>
        <v>2</v>
      </c>
      <c r="BM376">
        <f t="shared" si="0"/>
        <v>3</v>
      </c>
      <c r="BN376">
        <f t="shared" si="0"/>
        <v>1</v>
      </c>
      <c r="BO376">
        <f t="shared" si="0"/>
        <v>19</v>
      </c>
      <c r="BP376">
        <f t="shared" si="0"/>
        <v>1</v>
      </c>
      <c r="BQ376">
        <f t="shared" si="0"/>
        <v>2</v>
      </c>
      <c r="BR376">
        <f t="shared" si="0"/>
        <v>1</v>
      </c>
      <c r="BS376">
        <f t="shared" si="0"/>
        <v>5</v>
      </c>
      <c r="BT376">
        <f t="shared" si="0"/>
        <v>35</v>
      </c>
      <c r="BU376">
        <f t="shared" si="0"/>
        <v>1</v>
      </c>
      <c r="BV376">
        <f t="shared" si="0"/>
        <v>14</v>
      </c>
      <c r="BW376">
        <f t="shared" si="0"/>
        <v>1</v>
      </c>
      <c r="BX376">
        <f t="shared" si="0"/>
        <v>3</v>
      </c>
      <c r="BY376">
        <f t="shared" si="0"/>
        <v>11</v>
      </c>
      <c r="BZ376">
        <f t="shared" si="0"/>
        <v>4</v>
      </c>
      <c r="CA376">
        <f t="shared" si="0"/>
        <v>4</v>
      </c>
      <c r="CB376">
        <f t="shared" si="0"/>
        <v>65</v>
      </c>
      <c r="CC376">
        <f t="shared" si="0"/>
        <v>7</v>
      </c>
      <c r="CD376">
        <f t="shared" si="0"/>
        <v>9</v>
      </c>
      <c r="CE376">
        <f t="shared" si="0"/>
        <v>10</v>
      </c>
      <c r="CF376">
        <f t="shared" si="0"/>
        <v>13</v>
      </c>
      <c r="CG376">
        <f t="shared" si="0"/>
        <v>2</v>
      </c>
      <c r="CH376">
        <f t="shared" si="0"/>
        <v>2</v>
      </c>
      <c r="CI376">
        <f t="shared" si="0"/>
        <v>5</v>
      </c>
      <c r="CJ376">
        <f t="shared" si="0"/>
        <v>5</v>
      </c>
      <c r="CK376">
        <f t="shared" si="0"/>
        <v>17</v>
      </c>
      <c r="CL376">
        <f t="shared" si="0"/>
        <v>2</v>
      </c>
      <c r="CM376">
        <f t="shared" ref="CM376:EX376" si="1">SUM(CM2:CM373)</f>
        <v>1</v>
      </c>
      <c r="CN376">
        <f t="shared" si="1"/>
        <v>8</v>
      </c>
      <c r="CO376">
        <f t="shared" si="1"/>
        <v>2</v>
      </c>
      <c r="CP376">
        <f t="shared" si="1"/>
        <v>1</v>
      </c>
      <c r="CQ376">
        <f t="shared" si="1"/>
        <v>4</v>
      </c>
      <c r="CR376">
        <f t="shared" si="1"/>
        <v>126</v>
      </c>
      <c r="CS376">
        <f t="shared" si="1"/>
        <v>23</v>
      </c>
      <c r="CT376">
        <f t="shared" si="1"/>
        <v>9</v>
      </c>
      <c r="CU376">
        <f t="shared" si="1"/>
        <v>9</v>
      </c>
      <c r="CV376">
        <f t="shared" si="1"/>
        <v>2</v>
      </c>
      <c r="CW376">
        <f t="shared" si="1"/>
        <v>4</v>
      </c>
      <c r="CX376">
        <f t="shared" si="1"/>
        <v>4</v>
      </c>
      <c r="CY376">
        <f t="shared" si="1"/>
        <v>1</v>
      </c>
      <c r="CZ376">
        <f t="shared" si="1"/>
        <v>4</v>
      </c>
      <c r="DA376">
        <f t="shared" si="1"/>
        <v>1</v>
      </c>
      <c r="DB376">
        <f t="shared" si="1"/>
        <v>1</v>
      </c>
      <c r="DC376">
        <f t="shared" si="1"/>
        <v>215</v>
      </c>
      <c r="DD376">
        <f t="shared" si="1"/>
        <v>1</v>
      </c>
      <c r="DE376">
        <f t="shared" si="1"/>
        <v>1</v>
      </c>
      <c r="DF376">
        <f t="shared" si="1"/>
        <v>10</v>
      </c>
      <c r="DG376">
        <f t="shared" si="1"/>
        <v>3</v>
      </c>
      <c r="DH376">
        <f t="shared" si="1"/>
        <v>1</v>
      </c>
      <c r="DI376">
        <f t="shared" si="1"/>
        <v>8</v>
      </c>
      <c r="DJ376">
        <f t="shared" si="1"/>
        <v>7</v>
      </c>
      <c r="DK376">
        <f t="shared" si="1"/>
        <v>9</v>
      </c>
      <c r="DL376">
        <f t="shared" si="1"/>
        <v>12</v>
      </c>
      <c r="DM376">
        <f t="shared" si="1"/>
        <v>20</v>
      </c>
      <c r="DN376">
        <f t="shared" si="1"/>
        <v>11</v>
      </c>
      <c r="DO376">
        <f t="shared" si="1"/>
        <v>105</v>
      </c>
      <c r="DP376">
        <f t="shared" si="1"/>
        <v>4</v>
      </c>
      <c r="DQ376">
        <f t="shared" si="1"/>
        <v>10</v>
      </c>
      <c r="DR376">
        <f t="shared" si="1"/>
        <v>77</v>
      </c>
      <c r="DS376">
        <f t="shared" si="1"/>
        <v>3</v>
      </c>
      <c r="DT376">
        <f t="shared" si="1"/>
        <v>1</v>
      </c>
      <c r="DU376">
        <f t="shared" si="1"/>
        <v>1</v>
      </c>
      <c r="DV376">
        <f t="shared" si="1"/>
        <v>1</v>
      </c>
      <c r="DW376">
        <f t="shared" si="1"/>
        <v>2</v>
      </c>
      <c r="DX376">
        <f t="shared" si="1"/>
        <v>1</v>
      </c>
      <c r="DY376">
        <f t="shared" si="1"/>
        <v>13</v>
      </c>
      <c r="DZ376">
        <f t="shared" si="1"/>
        <v>27</v>
      </c>
      <c r="EA376">
        <f t="shared" si="1"/>
        <v>3</v>
      </c>
      <c r="EB376">
        <f t="shared" si="1"/>
        <v>5</v>
      </c>
      <c r="EC376">
        <f t="shared" si="1"/>
        <v>15</v>
      </c>
      <c r="ED376">
        <f t="shared" si="1"/>
        <v>1</v>
      </c>
      <c r="EE376">
        <f t="shared" si="1"/>
        <v>1</v>
      </c>
      <c r="EF376">
        <f t="shared" si="1"/>
        <v>48</v>
      </c>
      <c r="EG376">
        <f t="shared" si="1"/>
        <v>1</v>
      </c>
      <c r="EH376">
        <f t="shared" si="1"/>
        <v>126</v>
      </c>
      <c r="EI376">
        <f t="shared" si="1"/>
        <v>23</v>
      </c>
      <c r="EJ376">
        <f t="shared" si="1"/>
        <v>20</v>
      </c>
      <c r="EK376">
        <f t="shared" si="1"/>
        <v>8</v>
      </c>
      <c r="EL376">
        <f t="shared" si="1"/>
        <v>47</v>
      </c>
      <c r="EM376">
        <f t="shared" si="1"/>
        <v>58</v>
      </c>
      <c r="EN376">
        <f t="shared" si="1"/>
        <v>12</v>
      </c>
      <c r="EO376">
        <f t="shared" si="1"/>
        <v>1</v>
      </c>
      <c r="EP376">
        <f t="shared" si="1"/>
        <v>7</v>
      </c>
      <c r="EQ376">
        <f t="shared" si="1"/>
        <v>11</v>
      </c>
      <c r="ER376">
        <f t="shared" si="1"/>
        <v>10</v>
      </c>
      <c r="ES376">
        <f t="shared" si="1"/>
        <v>1</v>
      </c>
      <c r="ET376">
        <f t="shared" si="1"/>
        <v>21</v>
      </c>
      <c r="EU376">
        <f t="shared" si="1"/>
        <v>20</v>
      </c>
      <c r="EV376">
        <f t="shared" si="1"/>
        <v>1</v>
      </c>
      <c r="EW376">
        <f t="shared" si="1"/>
        <v>4</v>
      </c>
      <c r="EX376">
        <f t="shared" si="1"/>
        <v>185</v>
      </c>
      <c r="EY376">
        <f t="shared" ref="EY376:FI376" si="2">SUM(EY2:EY373)</f>
        <v>188</v>
      </c>
      <c r="EZ376">
        <f t="shared" si="2"/>
        <v>2</v>
      </c>
      <c r="FA376">
        <f t="shared" si="2"/>
        <v>145</v>
      </c>
      <c r="FB376">
        <f t="shared" si="2"/>
        <v>55</v>
      </c>
      <c r="FC376">
        <f t="shared" si="2"/>
        <v>152</v>
      </c>
      <c r="FD376">
        <f t="shared" si="2"/>
        <v>207</v>
      </c>
      <c r="FE376">
        <f t="shared" si="2"/>
        <v>45</v>
      </c>
      <c r="FF376">
        <f t="shared" si="2"/>
        <v>11</v>
      </c>
      <c r="FG376">
        <f t="shared" si="2"/>
        <v>174</v>
      </c>
      <c r="FH376">
        <f t="shared" si="2"/>
        <v>2</v>
      </c>
      <c r="FI376">
        <f t="shared" si="2"/>
        <v>5</v>
      </c>
    </row>
  </sheetData>
  <autoFilter ref="Y1:Y373" xr:uid="{486E61E8-3772-4779-ADD3-5211351101D1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8548-E78E-4635-AC58-B3ED6F2C9509}">
  <dimension ref="A1:H376"/>
  <sheetViews>
    <sheetView topLeftCell="A354" workbookViewId="0">
      <selection sqref="A1:H373"/>
    </sheetView>
  </sheetViews>
  <sheetFormatPr defaultRowHeight="14.4" x14ac:dyDescent="0.3"/>
  <cols>
    <col min="1" max="1" width="13.77734375" bestFit="1" customWidth="1"/>
    <col min="3" max="3" width="11.44140625" customWidth="1"/>
  </cols>
  <sheetData>
    <row r="1" spans="1:8" x14ac:dyDescent="0.3">
      <c r="A1" t="s">
        <v>0</v>
      </c>
      <c r="B1" t="s">
        <v>1451</v>
      </c>
      <c r="C1" t="s">
        <v>2</v>
      </c>
      <c r="D1" t="s">
        <v>15</v>
      </c>
      <c r="E1" t="s">
        <v>16</v>
      </c>
      <c r="F1" t="s">
        <v>20</v>
      </c>
      <c r="G1" t="s">
        <v>21</v>
      </c>
      <c r="H1" t="s">
        <v>162</v>
      </c>
    </row>
    <row r="2" spans="1:8" ht="86.4" x14ac:dyDescent="0.3">
      <c r="A2" t="s">
        <v>163</v>
      </c>
      <c r="B2">
        <v>2021</v>
      </c>
      <c r="C2" t="s">
        <v>165</v>
      </c>
      <c r="D2">
        <v>9.0612400000000001E-4</v>
      </c>
      <c r="E2" s="2" t="s">
        <v>1292</v>
      </c>
      <c r="F2" t="s">
        <v>171</v>
      </c>
      <c r="G2" t="s">
        <v>172</v>
      </c>
      <c r="H2">
        <v>2</v>
      </c>
    </row>
    <row r="3" spans="1:8" ht="86.4" x14ac:dyDescent="0.3">
      <c r="A3" t="s">
        <v>173</v>
      </c>
      <c r="B3">
        <v>2021</v>
      </c>
      <c r="C3" t="s">
        <v>165</v>
      </c>
      <c r="D3">
        <v>1.0834200000000001E-3</v>
      </c>
      <c r="E3" s="2" t="s">
        <v>1292</v>
      </c>
      <c r="F3" t="s">
        <v>171</v>
      </c>
      <c r="G3" t="s">
        <v>172</v>
      </c>
      <c r="H3">
        <v>2</v>
      </c>
    </row>
    <row r="4" spans="1:8" ht="86.4" x14ac:dyDescent="0.3">
      <c r="A4" t="s">
        <v>176</v>
      </c>
      <c r="B4">
        <v>2021</v>
      </c>
      <c r="C4" t="s">
        <v>165</v>
      </c>
      <c r="D4">
        <v>7.0584100000000002E-4</v>
      </c>
      <c r="E4" s="2" t="s">
        <v>1293</v>
      </c>
      <c r="F4" t="s">
        <v>171</v>
      </c>
      <c r="G4" t="s">
        <v>172</v>
      </c>
      <c r="H4">
        <v>2</v>
      </c>
    </row>
    <row r="5" spans="1:8" x14ac:dyDescent="0.3">
      <c r="A5" t="s">
        <v>179</v>
      </c>
      <c r="B5">
        <v>2021</v>
      </c>
      <c r="C5" t="s">
        <v>165</v>
      </c>
      <c r="D5">
        <v>7.0584100000000002E-4</v>
      </c>
      <c r="E5" t="s">
        <v>1294</v>
      </c>
      <c r="F5" t="s">
        <v>171</v>
      </c>
      <c r="G5" t="s">
        <v>172</v>
      </c>
      <c r="H5">
        <v>2</v>
      </c>
    </row>
    <row r="6" spans="1:8" x14ac:dyDescent="0.3">
      <c r="A6" t="s">
        <v>181</v>
      </c>
      <c r="B6">
        <v>2021</v>
      </c>
      <c r="C6" t="s">
        <v>165</v>
      </c>
      <c r="D6">
        <v>8.3072799999999998E-4</v>
      </c>
      <c r="E6" t="s">
        <v>1295</v>
      </c>
      <c r="F6" t="s">
        <v>171</v>
      </c>
      <c r="G6" t="s">
        <v>172</v>
      </c>
      <c r="H6">
        <v>1</v>
      </c>
    </row>
    <row r="7" spans="1:8" x14ac:dyDescent="0.3">
      <c r="A7" t="s">
        <v>185</v>
      </c>
      <c r="B7">
        <v>2021</v>
      </c>
      <c r="C7" t="s">
        <v>165</v>
      </c>
      <c r="D7">
        <v>7.0584100000000002E-4</v>
      </c>
      <c r="E7" t="s">
        <v>1296</v>
      </c>
      <c r="F7" t="s">
        <v>171</v>
      </c>
      <c r="G7" t="s">
        <v>172</v>
      </c>
      <c r="H7">
        <v>2</v>
      </c>
    </row>
    <row r="8" spans="1:8" x14ac:dyDescent="0.3">
      <c r="A8" t="s">
        <v>187</v>
      </c>
      <c r="B8">
        <v>2021</v>
      </c>
      <c r="C8" t="s">
        <v>165</v>
      </c>
      <c r="D8">
        <v>7.0584100000000002E-4</v>
      </c>
      <c r="E8" t="s">
        <v>1297</v>
      </c>
      <c r="F8" t="s">
        <v>171</v>
      </c>
      <c r="G8" t="s">
        <v>172</v>
      </c>
      <c r="H8">
        <v>2</v>
      </c>
    </row>
    <row r="9" spans="1:8" x14ac:dyDescent="0.3">
      <c r="A9" t="s">
        <v>189</v>
      </c>
      <c r="B9">
        <v>2021</v>
      </c>
      <c r="C9" t="s">
        <v>191</v>
      </c>
      <c r="D9">
        <v>1.54006E-2</v>
      </c>
      <c r="F9" t="s">
        <v>196</v>
      </c>
      <c r="G9" t="s">
        <v>197</v>
      </c>
      <c r="H9" t="s">
        <v>198</v>
      </c>
    </row>
    <row r="10" spans="1:8" x14ac:dyDescent="0.3">
      <c r="A10" t="s">
        <v>199</v>
      </c>
      <c r="B10">
        <v>2022</v>
      </c>
      <c r="C10" t="s">
        <v>191</v>
      </c>
      <c r="D10">
        <v>2.8271199999999998E-3</v>
      </c>
      <c r="E10" t="s">
        <v>1394</v>
      </c>
      <c r="F10" t="s">
        <v>196</v>
      </c>
      <c r="G10" t="s">
        <v>197</v>
      </c>
      <c r="H10" t="s">
        <v>198</v>
      </c>
    </row>
    <row r="11" spans="1:8" x14ac:dyDescent="0.3">
      <c r="A11" t="s">
        <v>203</v>
      </c>
      <c r="B11">
        <v>2022</v>
      </c>
      <c r="C11" t="s">
        <v>191</v>
      </c>
      <c r="D11">
        <v>2.43596E-3</v>
      </c>
      <c r="E11" t="s">
        <v>1394</v>
      </c>
      <c r="F11" t="s">
        <v>196</v>
      </c>
      <c r="G11" t="s">
        <v>197</v>
      </c>
      <c r="H11">
        <v>103</v>
      </c>
    </row>
    <row r="12" spans="1:8" x14ac:dyDescent="0.3">
      <c r="A12" t="s">
        <v>207</v>
      </c>
      <c r="B12">
        <v>2022</v>
      </c>
      <c r="C12" t="s">
        <v>191</v>
      </c>
      <c r="D12">
        <v>1.2626499999999999E-3</v>
      </c>
      <c r="E12" t="s">
        <v>1394</v>
      </c>
      <c r="F12" t="s">
        <v>196</v>
      </c>
      <c r="G12" t="s">
        <v>197</v>
      </c>
      <c r="H12">
        <v>409</v>
      </c>
    </row>
    <row r="13" spans="1:8" x14ac:dyDescent="0.3">
      <c r="A13" t="s">
        <v>211</v>
      </c>
      <c r="B13">
        <v>2021</v>
      </c>
      <c r="C13" t="s">
        <v>191</v>
      </c>
      <c r="D13">
        <v>9.2055499999999998E-3</v>
      </c>
      <c r="E13" s="2" t="s">
        <v>1298</v>
      </c>
      <c r="F13" t="s">
        <v>196</v>
      </c>
      <c r="G13" t="s">
        <v>197</v>
      </c>
      <c r="H13">
        <v>2214</v>
      </c>
    </row>
    <row r="14" spans="1:8" x14ac:dyDescent="0.3">
      <c r="A14" t="s">
        <v>215</v>
      </c>
      <c r="B14">
        <v>2021</v>
      </c>
      <c r="C14" t="s">
        <v>191</v>
      </c>
      <c r="D14">
        <v>2.10772E-3</v>
      </c>
      <c r="E14" s="2" t="s">
        <v>1298</v>
      </c>
      <c r="F14" t="s">
        <v>196</v>
      </c>
      <c r="G14" t="s">
        <v>197</v>
      </c>
      <c r="H14">
        <v>126</v>
      </c>
    </row>
    <row r="15" spans="1:8" x14ac:dyDescent="0.3">
      <c r="A15" t="s">
        <v>219</v>
      </c>
      <c r="B15">
        <v>2021</v>
      </c>
      <c r="C15" t="s">
        <v>191</v>
      </c>
      <c r="D15">
        <v>2.6583800000000001E-3</v>
      </c>
      <c r="E15" s="2" t="s">
        <v>1298</v>
      </c>
      <c r="F15" t="s">
        <v>196</v>
      </c>
      <c r="G15" t="s">
        <v>197</v>
      </c>
      <c r="H15">
        <v>164</v>
      </c>
    </row>
    <row r="16" spans="1:8" x14ac:dyDescent="0.3">
      <c r="A16" t="s">
        <v>223</v>
      </c>
      <c r="B16">
        <v>2021</v>
      </c>
      <c r="C16" t="s">
        <v>191</v>
      </c>
      <c r="D16">
        <v>6.0776099999999998E-3</v>
      </c>
      <c r="E16" s="2" t="s">
        <v>1298</v>
      </c>
      <c r="F16" t="s">
        <v>196</v>
      </c>
      <c r="G16" t="s">
        <v>197</v>
      </c>
      <c r="H16">
        <v>1828</v>
      </c>
    </row>
    <row r="17" spans="1:8" x14ac:dyDescent="0.3">
      <c r="A17" t="s">
        <v>227</v>
      </c>
      <c r="B17">
        <v>2021</v>
      </c>
      <c r="C17" t="s">
        <v>191</v>
      </c>
      <c r="D17">
        <v>5.3460599999999997E-3</v>
      </c>
      <c r="E17" s="2" t="s">
        <v>1298</v>
      </c>
      <c r="F17" t="s">
        <v>196</v>
      </c>
      <c r="G17" t="s">
        <v>197</v>
      </c>
      <c r="H17" t="s">
        <v>198</v>
      </c>
    </row>
    <row r="18" spans="1:8" ht="28.8" x14ac:dyDescent="0.3">
      <c r="A18" t="s">
        <v>231</v>
      </c>
      <c r="B18">
        <v>2022</v>
      </c>
      <c r="C18" t="s">
        <v>191</v>
      </c>
      <c r="D18">
        <v>1.5997999999999998E-2</v>
      </c>
      <c r="E18" s="2" t="s">
        <v>1394</v>
      </c>
      <c r="F18" t="s">
        <v>196</v>
      </c>
      <c r="G18" t="s">
        <v>197</v>
      </c>
      <c r="H18">
        <v>2215</v>
      </c>
    </row>
    <row r="19" spans="1:8" ht="28.8" x14ac:dyDescent="0.3">
      <c r="A19" t="s">
        <v>235</v>
      </c>
      <c r="B19">
        <v>2022</v>
      </c>
      <c r="C19" t="s">
        <v>191</v>
      </c>
      <c r="D19">
        <v>2.8837400000000001E-3</v>
      </c>
      <c r="E19" s="2" t="s">
        <v>1394</v>
      </c>
      <c r="F19" t="s">
        <v>196</v>
      </c>
      <c r="G19" t="s">
        <v>197</v>
      </c>
      <c r="H19">
        <v>821</v>
      </c>
    </row>
    <row r="20" spans="1:8" ht="28.8" x14ac:dyDescent="0.3">
      <c r="A20" t="s">
        <v>239</v>
      </c>
      <c r="B20">
        <v>2022</v>
      </c>
      <c r="C20" t="s">
        <v>191</v>
      </c>
      <c r="D20">
        <v>1.0579700000000001E-3</v>
      </c>
      <c r="E20" s="2" t="s">
        <v>1394</v>
      </c>
      <c r="F20" t="s">
        <v>196</v>
      </c>
      <c r="G20" t="s">
        <v>197</v>
      </c>
      <c r="H20" t="s">
        <v>198</v>
      </c>
    </row>
    <row r="21" spans="1:8" x14ac:dyDescent="0.3">
      <c r="A21" t="s">
        <v>242</v>
      </c>
      <c r="B21">
        <v>2021</v>
      </c>
      <c r="C21" t="s">
        <v>191</v>
      </c>
      <c r="D21">
        <v>7.7809200000000002E-3</v>
      </c>
      <c r="E21" s="2" t="s">
        <v>1298</v>
      </c>
      <c r="F21" t="s">
        <v>196</v>
      </c>
      <c r="G21" t="s">
        <v>197</v>
      </c>
      <c r="H21">
        <v>1464</v>
      </c>
    </row>
    <row r="22" spans="1:8" x14ac:dyDescent="0.3">
      <c r="A22" t="s">
        <v>245</v>
      </c>
      <c r="B22">
        <v>2021</v>
      </c>
      <c r="C22" t="s">
        <v>191</v>
      </c>
      <c r="D22">
        <v>2.16198E-3</v>
      </c>
      <c r="E22" s="2" t="s">
        <v>1298</v>
      </c>
      <c r="F22" t="s">
        <v>196</v>
      </c>
      <c r="G22" t="s">
        <v>197</v>
      </c>
      <c r="H22">
        <v>973</v>
      </c>
    </row>
    <row r="23" spans="1:8" ht="28.8" x14ac:dyDescent="0.3">
      <c r="A23" t="s">
        <v>249</v>
      </c>
      <c r="B23">
        <v>2022</v>
      </c>
      <c r="C23" t="s">
        <v>191</v>
      </c>
      <c r="D23">
        <v>1.0072E-3</v>
      </c>
      <c r="E23" s="2" t="s">
        <v>1394</v>
      </c>
      <c r="F23" t="s">
        <v>196</v>
      </c>
      <c r="G23" t="s">
        <v>197</v>
      </c>
      <c r="H23">
        <v>409</v>
      </c>
    </row>
    <row r="24" spans="1:8" ht="28.8" x14ac:dyDescent="0.3">
      <c r="A24" t="s">
        <v>252</v>
      </c>
      <c r="B24">
        <v>2022</v>
      </c>
      <c r="C24" t="s">
        <v>191</v>
      </c>
      <c r="D24">
        <v>1.4960100000000001E-3</v>
      </c>
      <c r="E24" s="2" t="s">
        <v>1394</v>
      </c>
      <c r="F24" t="s">
        <v>196</v>
      </c>
      <c r="G24" t="s">
        <v>197</v>
      </c>
      <c r="H24">
        <v>32</v>
      </c>
    </row>
    <row r="25" spans="1:8" ht="28.8" x14ac:dyDescent="0.3">
      <c r="A25" t="s">
        <v>256</v>
      </c>
      <c r="B25">
        <v>2022</v>
      </c>
      <c r="C25" t="s">
        <v>191</v>
      </c>
      <c r="D25">
        <v>2.4912900000000002E-3</v>
      </c>
      <c r="E25" s="2" t="s">
        <v>1394</v>
      </c>
      <c r="F25" t="s">
        <v>196</v>
      </c>
      <c r="G25" t="s">
        <v>197</v>
      </c>
      <c r="H25">
        <v>103</v>
      </c>
    </row>
    <row r="26" spans="1:8" ht="28.8" x14ac:dyDescent="0.3">
      <c r="A26" t="s">
        <v>259</v>
      </c>
      <c r="B26">
        <v>2022</v>
      </c>
      <c r="C26" t="s">
        <v>191</v>
      </c>
      <c r="D26">
        <v>1.2626499999999999E-3</v>
      </c>
      <c r="E26" s="2" t="s">
        <v>1394</v>
      </c>
      <c r="F26" t="s">
        <v>196</v>
      </c>
      <c r="G26" t="s">
        <v>197</v>
      </c>
      <c r="H26">
        <v>409</v>
      </c>
    </row>
    <row r="27" spans="1:8" ht="28.8" x14ac:dyDescent="0.3">
      <c r="A27" t="s">
        <v>261</v>
      </c>
      <c r="B27">
        <v>2022</v>
      </c>
      <c r="C27" t="s">
        <v>191</v>
      </c>
      <c r="D27">
        <v>2.7988800000000001E-3</v>
      </c>
      <c r="E27" s="2" t="s">
        <v>1394</v>
      </c>
      <c r="F27" t="s">
        <v>196</v>
      </c>
      <c r="G27" t="s">
        <v>197</v>
      </c>
      <c r="H27">
        <v>221</v>
      </c>
    </row>
    <row r="28" spans="1:8" x14ac:dyDescent="0.3">
      <c r="A28" t="s">
        <v>264</v>
      </c>
      <c r="B28">
        <v>2021</v>
      </c>
      <c r="C28" t="s">
        <v>191</v>
      </c>
      <c r="D28">
        <v>2.1891800000000002E-3</v>
      </c>
      <c r="F28" t="s">
        <v>196</v>
      </c>
      <c r="G28" t="s">
        <v>197</v>
      </c>
      <c r="H28">
        <v>973</v>
      </c>
    </row>
    <row r="29" spans="1:8" x14ac:dyDescent="0.3">
      <c r="A29" t="s">
        <v>268</v>
      </c>
      <c r="B29">
        <v>2021</v>
      </c>
      <c r="C29" t="s">
        <v>191</v>
      </c>
      <c r="D29">
        <v>8.0049700000000001E-3</v>
      </c>
      <c r="E29" s="2" t="s">
        <v>1298</v>
      </c>
      <c r="F29" t="s">
        <v>196</v>
      </c>
      <c r="G29" t="s">
        <v>197</v>
      </c>
      <c r="H29">
        <v>2227</v>
      </c>
    </row>
    <row r="30" spans="1:8" x14ac:dyDescent="0.3">
      <c r="A30" t="s">
        <v>271</v>
      </c>
      <c r="B30">
        <v>2021</v>
      </c>
      <c r="C30" t="s">
        <v>191</v>
      </c>
      <c r="D30">
        <v>6.1455800000000003E-3</v>
      </c>
      <c r="E30" s="2" t="s">
        <v>1298</v>
      </c>
      <c r="F30" t="s">
        <v>196</v>
      </c>
      <c r="G30" t="s">
        <v>197</v>
      </c>
      <c r="H30" t="s">
        <v>198</v>
      </c>
    </row>
    <row r="31" spans="1:8" x14ac:dyDescent="0.3">
      <c r="A31" t="s">
        <v>274</v>
      </c>
      <c r="B31">
        <v>2021</v>
      </c>
      <c r="C31" t="s">
        <v>191</v>
      </c>
      <c r="D31">
        <v>2.2710400000000002E-3</v>
      </c>
      <c r="E31" s="2" t="s">
        <v>1298</v>
      </c>
      <c r="F31" t="s">
        <v>196</v>
      </c>
      <c r="G31" t="s">
        <v>197</v>
      </c>
      <c r="H31">
        <v>973</v>
      </c>
    </row>
    <row r="32" spans="1:8" ht="28.8" x14ac:dyDescent="0.3">
      <c r="A32" t="s">
        <v>277</v>
      </c>
      <c r="B32">
        <v>2022</v>
      </c>
      <c r="C32" t="s">
        <v>191</v>
      </c>
      <c r="D32">
        <v>1.0834200000000001E-3</v>
      </c>
      <c r="E32" s="2" t="s">
        <v>1394</v>
      </c>
      <c r="F32" t="s">
        <v>196</v>
      </c>
      <c r="G32" t="s">
        <v>197</v>
      </c>
      <c r="H32">
        <v>622</v>
      </c>
    </row>
    <row r="33" spans="1:8" x14ac:dyDescent="0.3">
      <c r="A33" t="s">
        <v>280</v>
      </c>
      <c r="B33">
        <v>2021</v>
      </c>
      <c r="C33" t="s">
        <v>191</v>
      </c>
      <c r="D33">
        <v>1.8123600000000001E-3</v>
      </c>
      <c r="E33" s="2" t="s">
        <v>1298</v>
      </c>
      <c r="F33" t="s">
        <v>196</v>
      </c>
      <c r="G33" t="s">
        <v>197</v>
      </c>
      <c r="H33">
        <v>78</v>
      </c>
    </row>
    <row r="34" spans="1:8" x14ac:dyDescent="0.3">
      <c r="A34" t="s">
        <v>284</v>
      </c>
      <c r="B34">
        <v>2021</v>
      </c>
      <c r="C34" t="s">
        <v>191</v>
      </c>
      <c r="D34">
        <v>6.6634099999999998E-3</v>
      </c>
      <c r="E34" s="2" t="s">
        <v>1298</v>
      </c>
      <c r="F34" t="s">
        <v>196</v>
      </c>
      <c r="G34" t="s">
        <v>197</v>
      </c>
      <c r="H34">
        <v>516</v>
      </c>
    </row>
    <row r="35" spans="1:8" x14ac:dyDescent="0.3">
      <c r="A35" t="s">
        <v>287</v>
      </c>
      <c r="B35">
        <v>2021</v>
      </c>
      <c r="C35" t="s">
        <v>191</v>
      </c>
      <c r="D35">
        <v>5.3260299999999998E-4</v>
      </c>
      <c r="E35" s="2" t="s">
        <v>1298</v>
      </c>
      <c r="F35" t="s">
        <v>196</v>
      </c>
      <c r="G35" t="s">
        <v>197</v>
      </c>
      <c r="H35">
        <v>1</v>
      </c>
    </row>
    <row r="36" spans="1:8" x14ac:dyDescent="0.3">
      <c r="A36" t="s">
        <v>291</v>
      </c>
      <c r="B36">
        <v>2022</v>
      </c>
      <c r="C36" t="s">
        <v>191</v>
      </c>
      <c r="D36">
        <v>2.6863899999999999E-3</v>
      </c>
      <c r="E36" s="2" t="s">
        <v>1395</v>
      </c>
      <c r="F36" t="s">
        <v>196</v>
      </c>
      <c r="G36" t="s">
        <v>197</v>
      </c>
      <c r="H36" t="s">
        <v>198</v>
      </c>
    </row>
    <row r="37" spans="1:8" x14ac:dyDescent="0.3">
      <c r="A37" t="s">
        <v>294</v>
      </c>
      <c r="B37">
        <v>2021</v>
      </c>
      <c r="C37" t="s">
        <v>191</v>
      </c>
      <c r="D37">
        <v>2.1891800000000002E-3</v>
      </c>
      <c r="F37" t="s">
        <v>196</v>
      </c>
      <c r="G37" t="s">
        <v>197</v>
      </c>
      <c r="H37">
        <v>973</v>
      </c>
    </row>
    <row r="38" spans="1:8" x14ac:dyDescent="0.3">
      <c r="A38" t="s">
        <v>296</v>
      </c>
      <c r="B38">
        <v>2022</v>
      </c>
      <c r="C38" t="s">
        <v>191</v>
      </c>
      <c r="D38">
        <v>1.4960100000000001E-3</v>
      </c>
      <c r="E38" s="2" t="s">
        <v>1396</v>
      </c>
      <c r="F38" t="s">
        <v>196</v>
      </c>
      <c r="G38" t="s">
        <v>197</v>
      </c>
      <c r="H38">
        <v>32</v>
      </c>
    </row>
    <row r="39" spans="1:8" x14ac:dyDescent="0.3">
      <c r="A39" t="s">
        <v>298</v>
      </c>
      <c r="B39">
        <v>2022</v>
      </c>
      <c r="C39" t="s">
        <v>191</v>
      </c>
      <c r="D39">
        <v>1.0579700000000001E-3</v>
      </c>
      <c r="F39" t="s">
        <v>196</v>
      </c>
      <c r="G39" t="s">
        <v>197</v>
      </c>
      <c r="H39">
        <v>622</v>
      </c>
    </row>
    <row r="40" spans="1:8" x14ac:dyDescent="0.3">
      <c r="A40" t="s">
        <v>300</v>
      </c>
      <c r="B40">
        <v>2021</v>
      </c>
      <c r="C40" t="s">
        <v>191</v>
      </c>
      <c r="D40">
        <v>7.7438300000000002E-3</v>
      </c>
      <c r="F40" t="s">
        <v>196</v>
      </c>
      <c r="G40" t="s">
        <v>197</v>
      </c>
      <c r="H40">
        <v>1464</v>
      </c>
    </row>
    <row r="41" spans="1:8" x14ac:dyDescent="0.3">
      <c r="A41" t="s">
        <v>303</v>
      </c>
      <c r="B41">
        <v>2022</v>
      </c>
      <c r="C41" t="s">
        <v>191</v>
      </c>
      <c r="D41">
        <v>2.32584E-3</v>
      </c>
      <c r="F41" t="s">
        <v>196</v>
      </c>
      <c r="G41" t="s">
        <v>197</v>
      </c>
      <c r="H41">
        <v>103</v>
      </c>
    </row>
    <row r="42" spans="1:8" x14ac:dyDescent="0.3">
      <c r="A42" t="s">
        <v>306</v>
      </c>
      <c r="B42">
        <v>2021</v>
      </c>
      <c r="C42" t="s">
        <v>191</v>
      </c>
      <c r="D42">
        <v>5.3460599999999997E-3</v>
      </c>
      <c r="E42" t="s">
        <v>1298</v>
      </c>
      <c r="F42" t="s">
        <v>196</v>
      </c>
      <c r="G42" t="s">
        <v>197</v>
      </c>
      <c r="H42" t="s">
        <v>198</v>
      </c>
    </row>
    <row r="43" spans="1:8" x14ac:dyDescent="0.3">
      <c r="A43" t="s">
        <v>308</v>
      </c>
      <c r="B43">
        <v>2022</v>
      </c>
      <c r="C43" t="s">
        <v>191</v>
      </c>
      <c r="D43">
        <v>1.7062399999999999E-3</v>
      </c>
      <c r="E43" t="s">
        <v>1301</v>
      </c>
      <c r="F43" t="s">
        <v>196</v>
      </c>
      <c r="G43" t="s">
        <v>197</v>
      </c>
      <c r="H43">
        <v>409</v>
      </c>
    </row>
    <row r="44" spans="1:8" x14ac:dyDescent="0.3">
      <c r="A44" t="s">
        <v>311</v>
      </c>
      <c r="B44">
        <v>2021</v>
      </c>
      <c r="C44" t="s">
        <v>191</v>
      </c>
      <c r="D44">
        <v>8.7320399999999999E-3</v>
      </c>
      <c r="E44" t="s">
        <v>1298</v>
      </c>
      <c r="F44" t="s">
        <v>196</v>
      </c>
      <c r="G44" t="s">
        <v>197</v>
      </c>
      <c r="H44" t="s">
        <v>198</v>
      </c>
    </row>
    <row r="45" spans="1:8" x14ac:dyDescent="0.3">
      <c r="A45" t="s">
        <v>314</v>
      </c>
      <c r="B45">
        <v>2022</v>
      </c>
      <c r="C45" t="s">
        <v>191</v>
      </c>
      <c r="D45">
        <v>1.31423E-3</v>
      </c>
      <c r="E45" t="s">
        <v>1298</v>
      </c>
      <c r="F45" t="s">
        <v>196</v>
      </c>
      <c r="G45" t="s">
        <v>197</v>
      </c>
      <c r="H45">
        <v>32</v>
      </c>
    </row>
    <row r="46" spans="1:8" x14ac:dyDescent="0.3">
      <c r="A46" t="s">
        <v>317</v>
      </c>
      <c r="B46">
        <v>2022</v>
      </c>
      <c r="C46" t="s">
        <v>191</v>
      </c>
      <c r="D46">
        <v>1.0072E-3</v>
      </c>
      <c r="E46" t="s">
        <v>1301</v>
      </c>
      <c r="F46" t="s">
        <v>196</v>
      </c>
      <c r="G46" t="s">
        <v>197</v>
      </c>
      <c r="H46">
        <v>409</v>
      </c>
    </row>
    <row r="47" spans="1:8" x14ac:dyDescent="0.3">
      <c r="A47" t="s">
        <v>319</v>
      </c>
      <c r="B47">
        <v>2021</v>
      </c>
      <c r="C47" t="s">
        <v>191</v>
      </c>
      <c r="D47">
        <v>6.3165900000000004E-3</v>
      </c>
      <c r="E47" t="s">
        <v>1397</v>
      </c>
      <c r="F47" t="s">
        <v>196</v>
      </c>
      <c r="G47" t="s">
        <v>197</v>
      </c>
      <c r="H47">
        <v>1463</v>
      </c>
    </row>
    <row r="48" spans="1:8" x14ac:dyDescent="0.3">
      <c r="A48" t="s">
        <v>323</v>
      </c>
      <c r="B48">
        <v>2021</v>
      </c>
      <c r="C48" t="s">
        <v>191</v>
      </c>
      <c r="D48">
        <v>6.91005E-3</v>
      </c>
      <c r="E48" t="s">
        <v>1394</v>
      </c>
      <c r="F48" t="s">
        <v>196</v>
      </c>
      <c r="G48" t="s">
        <v>197</v>
      </c>
      <c r="H48">
        <v>516</v>
      </c>
    </row>
    <row r="49" spans="1:8" x14ac:dyDescent="0.3">
      <c r="A49" t="s">
        <v>327</v>
      </c>
      <c r="B49">
        <v>2022</v>
      </c>
      <c r="C49" t="s">
        <v>191</v>
      </c>
      <c r="D49">
        <v>9.3133400000000002E-4</v>
      </c>
      <c r="E49" t="s">
        <v>1301</v>
      </c>
      <c r="F49" t="s">
        <v>196</v>
      </c>
      <c r="G49" t="s">
        <v>197</v>
      </c>
      <c r="H49" t="s">
        <v>198</v>
      </c>
    </row>
    <row r="50" spans="1:8" x14ac:dyDescent="0.3">
      <c r="A50" t="s">
        <v>331</v>
      </c>
      <c r="B50">
        <v>2022</v>
      </c>
      <c r="C50" t="s">
        <v>191</v>
      </c>
      <c r="D50">
        <v>1.0325600000000001E-3</v>
      </c>
      <c r="E50" t="s">
        <v>1301</v>
      </c>
      <c r="F50" t="s">
        <v>196</v>
      </c>
      <c r="G50" t="s">
        <v>197</v>
      </c>
      <c r="H50">
        <v>149</v>
      </c>
    </row>
    <row r="51" spans="1:8" x14ac:dyDescent="0.3">
      <c r="A51" t="s">
        <v>334</v>
      </c>
      <c r="B51">
        <v>2022</v>
      </c>
      <c r="C51" t="s">
        <v>191</v>
      </c>
      <c r="D51">
        <v>3.84578E-3</v>
      </c>
      <c r="E51" t="s">
        <v>1300</v>
      </c>
      <c r="F51" t="s">
        <v>196</v>
      </c>
      <c r="G51" t="s">
        <v>197</v>
      </c>
      <c r="H51">
        <v>10</v>
      </c>
    </row>
    <row r="52" spans="1:8" x14ac:dyDescent="0.3">
      <c r="A52" t="s">
        <v>338</v>
      </c>
      <c r="B52">
        <v>2022</v>
      </c>
      <c r="C52" t="s">
        <v>191</v>
      </c>
      <c r="D52">
        <v>3.57808E-3</v>
      </c>
      <c r="E52" t="s">
        <v>1300</v>
      </c>
      <c r="F52" t="s">
        <v>196</v>
      </c>
      <c r="G52" t="s">
        <v>197</v>
      </c>
      <c r="H52">
        <v>10</v>
      </c>
    </row>
    <row r="53" spans="1:8" x14ac:dyDescent="0.3">
      <c r="A53" t="s">
        <v>342</v>
      </c>
      <c r="B53">
        <v>2021</v>
      </c>
      <c r="C53" t="s">
        <v>191</v>
      </c>
      <c r="D53">
        <v>2.1348299999999999E-3</v>
      </c>
      <c r="E53" t="s">
        <v>1394</v>
      </c>
      <c r="F53" t="s">
        <v>196</v>
      </c>
      <c r="G53" t="s">
        <v>197</v>
      </c>
      <c r="H53">
        <v>126</v>
      </c>
    </row>
    <row r="54" spans="1:8" x14ac:dyDescent="0.3">
      <c r="A54" t="s">
        <v>345</v>
      </c>
      <c r="B54">
        <v>2021</v>
      </c>
      <c r="C54" t="s">
        <v>191</v>
      </c>
      <c r="D54">
        <v>2.7425399999999999E-3</v>
      </c>
      <c r="E54" t="s">
        <v>1394</v>
      </c>
      <c r="F54" t="s">
        <v>196</v>
      </c>
      <c r="G54" t="s">
        <v>197</v>
      </c>
      <c r="H54">
        <v>164</v>
      </c>
    </row>
    <row r="55" spans="1:8" x14ac:dyDescent="0.3">
      <c r="A55" t="s">
        <v>348</v>
      </c>
      <c r="B55">
        <v>2021</v>
      </c>
      <c r="C55" t="s">
        <v>191</v>
      </c>
      <c r="D55">
        <v>1.98862E-2</v>
      </c>
      <c r="E55" t="s">
        <v>1394</v>
      </c>
      <c r="F55" t="s">
        <v>196</v>
      </c>
      <c r="G55" t="s">
        <v>197</v>
      </c>
      <c r="H55" t="s">
        <v>198</v>
      </c>
    </row>
    <row r="56" spans="1:8" x14ac:dyDescent="0.3">
      <c r="A56" t="s">
        <v>352</v>
      </c>
      <c r="B56">
        <v>2022</v>
      </c>
      <c r="C56" t="s">
        <v>191</v>
      </c>
      <c r="D56">
        <v>1.6270900000000001E-3</v>
      </c>
      <c r="E56" t="s">
        <v>1300</v>
      </c>
      <c r="F56" t="s">
        <v>196</v>
      </c>
      <c r="G56" t="s">
        <v>197</v>
      </c>
      <c r="H56">
        <v>32</v>
      </c>
    </row>
    <row r="57" spans="1:8" x14ac:dyDescent="0.3">
      <c r="A57" t="s">
        <v>355</v>
      </c>
      <c r="B57">
        <v>2022</v>
      </c>
      <c r="C57" t="s">
        <v>191</v>
      </c>
      <c r="D57">
        <v>1.5997999999999998E-2</v>
      </c>
      <c r="E57" t="s">
        <v>1300</v>
      </c>
      <c r="F57" t="s">
        <v>196</v>
      </c>
      <c r="G57" t="s">
        <v>197</v>
      </c>
      <c r="H57">
        <v>2215</v>
      </c>
    </row>
    <row r="58" spans="1:8" x14ac:dyDescent="0.3">
      <c r="A58" t="s">
        <v>357</v>
      </c>
      <c r="B58">
        <v>2021</v>
      </c>
      <c r="C58" t="s">
        <v>191</v>
      </c>
      <c r="D58">
        <v>6.0776099999999998E-3</v>
      </c>
      <c r="E58" t="s">
        <v>1394</v>
      </c>
      <c r="F58" t="s">
        <v>196</v>
      </c>
      <c r="G58" t="s">
        <v>197</v>
      </c>
      <c r="H58" t="s">
        <v>198</v>
      </c>
    </row>
    <row r="59" spans="1:8" x14ac:dyDescent="0.3">
      <c r="A59" t="s">
        <v>360</v>
      </c>
      <c r="B59">
        <v>2021</v>
      </c>
      <c r="C59" t="s">
        <v>191</v>
      </c>
      <c r="D59">
        <v>5.3134899999999997E-3</v>
      </c>
      <c r="E59" t="s">
        <v>1394</v>
      </c>
      <c r="F59" t="s">
        <v>196</v>
      </c>
      <c r="G59" t="s">
        <v>197</v>
      </c>
      <c r="H59" t="s">
        <v>198</v>
      </c>
    </row>
    <row r="60" spans="1:8" x14ac:dyDescent="0.3">
      <c r="A60" t="s">
        <v>363</v>
      </c>
      <c r="B60">
        <v>2021</v>
      </c>
      <c r="C60" t="s">
        <v>191</v>
      </c>
      <c r="D60">
        <v>2.8837400000000001E-3</v>
      </c>
      <c r="E60" t="s">
        <v>1394</v>
      </c>
      <c r="F60" t="s">
        <v>196</v>
      </c>
      <c r="G60" t="s">
        <v>197</v>
      </c>
      <c r="H60">
        <v>821</v>
      </c>
    </row>
    <row r="61" spans="1:8" x14ac:dyDescent="0.3">
      <c r="A61" t="s">
        <v>365</v>
      </c>
      <c r="B61">
        <v>2021</v>
      </c>
      <c r="C61" t="s">
        <v>191</v>
      </c>
      <c r="D61">
        <v>1.7358999999999999E-2</v>
      </c>
      <c r="F61" t="s">
        <v>196</v>
      </c>
      <c r="G61" t="s">
        <v>197</v>
      </c>
      <c r="H61">
        <v>2177</v>
      </c>
    </row>
    <row r="62" spans="1:8" x14ac:dyDescent="0.3">
      <c r="A62" t="s">
        <v>369</v>
      </c>
      <c r="B62">
        <v>2021</v>
      </c>
      <c r="C62" t="s">
        <v>191</v>
      </c>
      <c r="D62">
        <v>1.58335E-2</v>
      </c>
      <c r="E62" t="s">
        <v>1394</v>
      </c>
      <c r="F62" t="s">
        <v>196</v>
      </c>
      <c r="G62" t="s">
        <v>197</v>
      </c>
      <c r="H62" t="s">
        <v>198</v>
      </c>
    </row>
    <row r="63" spans="1:8" x14ac:dyDescent="0.3">
      <c r="A63" t="s">
        <v>373</v>
      </c>
      <c r="B63">
        <v>2022</v>
      </c>
      <c r="C63" t="s">
        <v>191</v>
      </c>
      <c r="D63">
        <v>1.7327099999999999E-3</v>
      </c>
      <c r="E63" t="s">
        <v>1300</v>
      </c>
      <c r="F63" t="s">
        <v>196</v>
      </c>
      <c r="G63" t="s">
        <v>197</v>
      </c>
      <c r="H63">
        <v>32</v>
      </c>
    </row>
    <row r="64" spans="1:8" x14ac:dyDescent="0.3">
      <c r="A64" t="s">
        <v>376</v>
      </c>
      <c r="B64">
        <v>2021</v>
      </c>
      <c r="C64" t="s">
        <v>191</v>
      </c>
      <c r="D64">
        <v>1.54006E-2</v>
      </c>
      <c r="E64" t="s">
        <v>1394</v>
      </c>
      <c r="F64" t="s">
        <v>196</v>
      </c>
      <c r="G64" t="s">
        <v>197</v>
      </c>
      <c r="H64" t="s">
        <v>198</v>
      </c>
    </row>
    <row r="65" spans="1:8" x14ac:dyDescent="0.3">
      <c r="A65" t="s">
        <v>378</v>
      </c>
      <c r="B65">
        <v>2021</v>
      </c>
      <c r="C65" t="s">
        <v>191</v>
      </c>
      <c r="D65">
        <v>1.98862E-2</v>
      </c>
      <c r="E65" t="s">
        <v>1394</v>
      </c>
      <c r="F65" t="s">
        <v>196</v>
      </c>
      <c r="G65" t="s">
        <v>197</v>
      </c>
      <c r="H65" t="s">
        <v>198</v>
      </c>
    </row>
    <row r="66" spans="1:8" x14ac:dyDescent="0.3">
      <c r="A66" t="s">
        <v>380</v>
      </c>
      <c r="B66">
        <v>2022</v>
      </c>
      <c r="C66" t="s">
        <v>191</v>
      </c>
      <c r="D66">
        <v>2.7706900000000001E-3</v>
      </c>
      <c r="F66" t="s">
        <v>196</v>
      </c>
      <c r="G66" t="s">
        <v>197</v>
      </c>
      <c r="H66">
        <v>221</v>
      </c>
    </row>
    <row r="67" spans="1:8" x14ac:dyDescent="0.3">
      <c r="A67" t="s">
        <v>383</v>
      </c>
      <c r="B67">
        <v>2022</v>
      </c>
      <c r="C67" t="s">
        <v>191</v>
      </c>
      <c r="D67">
        <v>4.0568499999999999E-3</v>
      </c>
      <c r="F67" t="s">
        <v>196</v>
      </c>
      <c r="G67" t="s">
        <v>197</v>
      </c>
      <c r="H67">
        <v>10</v>
      </c>
    </row>
    <row r="68" spans="1:8" x14ac:dyDescent="0.3">
      <c r="A68" t="s">
        <v>386</v>
      </c>
      <c r="B68">
        <v>2021</v>
      </c>
      <c r="C68" t="s">
        <v>191</v>
      </c>
      <c r="D68">
        <v>8.0049700000000001E-3</v>
      </c>
      <c r="E68" t="s">
        <v>1394</v>
      </c>
      <c r="F68" t="s">
        <v>196</v>
      </c>
      <c r="G68" t="s">
        <v>197</v>
      </c>
      <c r="H68">
        <v>1464</v>
      </c>
    </row>
    <row r="69" spans="1:8" x14ac:dyDescent="0.3">
      <c r="A69" t="s">
        <v>389</v>
      </c>
      <c r="B69">
        <v>2021</v>
      </c>
      <c r="C69" t="s">
        <v>191</v>
      </c>
      <c r="D69">
        <v>5.8191000000000004E-4</v>
      </c>
      <c r="F69" t="s">
        <v>196</v>
      </c>
      <c r="G69" t="s">
        <v>197</v>
      </c>
      <c r="H69">
        <v>1</v>
      </c>
    </row>
    <row r="70" spans="1:8" x14ac:dyDescent="0.3">
      <c r="A70" t="s">
        <v>392</v>
      </c>
      <c r="B70">
        <v>2021</v>
      </c>
      <c r="C70" t="s">
        <v>191</v>
      </c>
      <c r="D70">
        <v>1.7300599999999999E-2</v>
      </c>
      <c r="F70" t="s">
        <v>196</v>
      </c>
      <c r="G70" t="s">
        <v>197</v>
      </c>
      <c r="H70">
        <v>2177</v>
      </c>
    </row>
    <row r="71" spans="1:8" x14ac:dyDescent="0.3">
      <c r="A71" t="s">
        <v>395</v>
      </c>
      <c r="B71">
        <v>2022</v>
      </c>
      <c r="C71" t="s">
        <v>191</v>
      </c>
      <c r="D71">
        <v>1.28842E-3</v>
      </c>
      <c r="F71" t="s">
        <v>196</v>
      </c>
      <c r="G71" t="s">
        <v>197</v>
      </c>
      <c r="H71">
        <v>149</v>
      </c>
    </row>
    <row r="72" spans="1:8" x14ac:dyDescent="0.3">
      <c r="A72" t="s">
        <v>398</v>
      </c>
      <c r="B72">
        <v>2022</v>
      </c>
      <c r="C72" t="s">
        <v>191</v>
      </c>
      <c r="D72">
        <v>4.2704800000000001E-3</v>
      </c>
      <c r="F72" t="s">
        <v>196</v>
      </c>
      <c r="G72" t="s">
        <v>197</v>
      </c>
      <c r="H72">
        <v>10</v>
      </c>
    </row>
    <row r="73" spans="1:8" x14ac:dyDescent="0.3">
      <c r="A73" t="s">
        <v>401</v>
      </c>
      <c r="B73">
        <v>2022</v>
      </c>
      <c r="C73" t="s">
        <v>191</v>
      </c>
      <c r="D73">
        <v>3.6372100000000001E-3</v>
      </c>
      <c r="F73" t="s">
        <v>196</v>
      </c>
      <c r="G73" t="s">
        <v>197</v>
      </c>
      <c r="H73">
        <v>10</v>
      </c>
    </row>
    <row r="74" spans="1:8" x14ac:dyDescent="0.3">
      <c r="A74" t="s">
        <v>404</v>
      </c>
      <c r="B74">
        <v>2022</v>
      </c>
      <c r="C74" t="s">
        <v>191</v>
      </c>
      <c r="D74">
        <v>9.8187100000000005E-4</v>
      </c>
      <c r="F74" t="s">
        <v>196</v>
      </c>
      <c r="G74" t="s">
        <v>197</v>
      </c>
      <c r="H74">
        <v>409</v>
      </c>
    </row>
    <row r="75" spans="1:8" x14ac:dyDescent="0.3">
      <c r="A75" t="s">
        <v>407</v>
      </c>
      <c r="B75">
        <v>2021</v>
      </c>
      <c r="C75" t="s">
        <v>191</v>
      </c>
      <c r="D75">
        <v>8.2696899999999997E-3</v>
      </c>
      <c r="E75" t="s">
        <v>1394</v>
      </c>
      <c r="F75" t="s">
        <v>196</v>
      </c>
      <c r="G75" t="s">
        <v>197</v>
      </c>
      <c r="H75">
        <v>2029</v>
      </c>
    </row>
    <row r="76" spans="1:8" x14ac:dyDescent="0.3">
      <c r="A76" t="s">
        <v>410</v>
      </c>
      <c r="B76">
        <v>2021</v>
      </c>
      <c r="C76" t="s">
        <v>191</v>
      </c>
      <c r="D76">
        <v>8.0049700000000001E-3</v>
      </c>
      <c r="E76" t="s">
        <v>1394</v>
      </c>
      <c r="F76" t="s">
        <v>196</v>
      </c>
      <c r="G76" t="s">
        <v>197</v>
      </c>
      <c r="H76">
        <v>2199</v>
      </c>
    </row>
    <row r="77" spans="1:8" x14ac:dyDescent="0.3">
      <c r="A77" t="s">
        <v>413</v>
      </c>
      <c r="B77">
        <v>2021</v>
      </c>
      <c r="C77" t="s">
        <v>191</v>
      </c>
      <c r="D77">
        <v>6.0098900000000004E-3</v>
      </c>
      <c r="E77" t="s">
        <v>1394</v>
      </c>
      <c r="F77" t="s">
        <v>196</v>
      </c>
      <c r="G77" t="s">
        <v>197</v>
      </c>
      <c r="H77">
        <v>1828</v>
      </c>
    </row>
    <row r="78" spans="1:8" x14ac:dyDescent="0.3">
      <c r="A78" t="s">
        <v>416</v>
      </c>
      <c r="B78">
        <v>2021</v>
      </c>
      <c r="C78" t="s">
        <v>191</v>
      </c>
      <c r="D78">
        <v>5.4769199999999997E-3</v>
      </c>
      <c r="E78" t="s">
        <v>1394</v>
      </c>
      <c r="F78" t="s">
        <v>196</v>
      </c>
      <c r="G78" t="s">
        <v>197</v>
      </c>
      <c r="H78" t="s">
        <v>198</v>
      </c>
    </row>
    <row r="79" spans="1:8" x14ac:dyDescent="0.3">
      <c r="A79" t="s">
        <v>419</v>
      </c>
      <c r="B79">
        <v>2021</v>
      </c>
      <c r="C79" t="s">
        <v>191</v>
      </c>
      <c r="D79">
        <v>5.4769199999999997E-3</v>
      </c>
      <c r="E79" t="s">
        <v>1394</v>
      </c>
      <c r="F79" t="s">
        <v>196</v>
      </c>
      <c r="G79" t="s">
        <v>197</v>
      </c>
      <c r="H79" t="s">
        <v>198</v>
      </c>
    </row>
    <row r="80" spans="1:8" x14ac:dyDescent="0.3">
      <c r="A80" t="s">
        <v>421</v>
      </c>
      <c r="B80">
        <v>2021</v>
      </c>
      <c r="C80" t="s">
        <v>191</v>
      </c>
      <c r="D80">
        <v>5.3460599999999997E-3</v>
      </c>
      <c r="E80" t="s">
        <v>1394</v>
      </c>
      <c r="F80" t="s">
        <v>196</v>
      </c>
      <c r="G80" t="s">
        <v>197</v>
      </c>
      <c r="H80" t="s">
        <v>198</v>
      </c>
    </row>
    <row r="81" spans="1:8" x14ac:dyDescent="0.3">
      <c r="A81" t="s">
        <v>423</v>
      </c>
      <c r="B81">
        <v>2021</v>
      </c>
      <c r="C81" t="s">
        <v>191</v>
      </c>
      <c r="D81">
        <v>1.41786E-3</v>
      </c>
      <c r="E81" t="s">
        <v>1394</v>
      </c>
      <c r="F81" t="s">
        <v>196</v>
      </c>
      <c r="G81" t="s">
        <v>197</v>
      </c>
      <c r="H81">
        <v>32</v>
      </c>
    </row>
    <row r="82" spans="1:8" x14ac:dyDescent="0.3">
      <c r="A82" t="s">
        <v>427</v>
      </c>
      <c r="B82">
        <v>2021</v>
      </c>
      <c r="C82" t="s">
        <v>191</v>
      </c>
      <c r="D82">
        <v>3.2274199999999999E-3</v>
      </c>
      <c r="E82" t="s">
        <v>1394</v>
      </c>
      <c r="F82" t="s">
        <v>196</v>
      </c>
      <c r="G82" t="s">
        <v>197</v>
      </c>
      <c r="H82">
        <v>203</v>
      </c>
    </row>
    <row r="83" spans="1:8" x14ac:dyDescent="0.3">
      <c r="A83" t="s">
        <v>431</v>
      </c>
      <c r="B83">
        <v>2021</v>
      </c>
      <c r="C83" t="s">
        <v>191</v>
      </c>
      <c r="D83">
        <v>1.23693E-3</v>
      </c>
      <c r="E83" t="s">
        <v>1394</v>
      </c>
      <c r="F83" t="s">
        <v>196</v>
      </c>
      <c r="G83" t="s">
        <v>197</v>
      </c>
      <c r="H83">
        <v>32</v>
      </c>
    </row>
    <row r="84" spans="1:8" x14ac:dyDescent="0.3">
      <c r="A84" t="s">
        <v>434</v>
      </c>
      <c r="B84">
        <v>2021</v>
      </c>
      <c r="C84" t="s">
        <v>191</v>
      </c>
      <c r="D84">
        <v>1.2626499999999999E-3</v>
      </c>
      <c r="E84" t="s">
        <v>1394</v>
      </c>
      <c r="F84" t="s">
        <v>196</v>
      </c>
      <c r="G84" t="s">
        <v>197</v>
      </c>
      <c r="H84">
        <v>32</v>
      </c>
    </row>
    <row r="85" spans="1:8" x14ac:dyDescent="0.3">
      <c r="A85" t="s">
        <v>436</v>
      </c>
      <c r="B85">
        <v>2021</v>
      </c>
      <c r="C85" t="s">
        <v>191</v>
      </c>
      <c r="D85">
        <v>1.6053100000000001E-2</v>
      </c>
      <c r="E85" t="s">
        <v>1394</v>
      </c>
      <c r="F85" t="s">
        <v>196</v>
      </c>
      <c r="G85" t="s">
        <v>197</v>
      </c>
      <c r="H85">
        <v>2215</v>
      </c>
    </row>
    <row r="86" spans="1:8" x14ac:dyDescent="0.3">
      <c r="A86" t="s">
        <v>439</v>
      </c>
      <c r="B86">
        <v>2017</v>
      </c>
      <c r="C86" t="s">
        <v>441</v>
      </c>
      <c r="D86">
        <v>0</v>
      </c>
      <c r="E86" t="s">
        <v>1289</v>
      </c>
      <c r="F86" t="s">
        <v>447</v>
      </c>
      <c r="G86" t="s">
        <v>448</v>
      </c>
      <c r="H86">
        <v>1</v>
      </c>
    </row>
    <row r="87" spans="1:8" x14ac:dyDescent="0.3">
      <c r="A87" t="s">
        <v>449</v>
      </c>
      <c r="B87">
        <v>2017</v>
      </c>
      <c r="C87" t="s">
        <v>441</v>
      </c>
      <c r="D87">
        <v>0</v>
      </c>
      <c r="E87" t="s">
        <v>1289</v>
      </c>
      <c r="F87" t="s">
        <v>447</v>
      </c>
      <c r="G87" t="s">
        <v>448</v>
      </c>
      <c r="H87">
        <v>1</v>
      </c>
    </row>
    <row r="88" spans="1:8" x14ac:dyDescent="0.3">
      <c r="A88" t="s">
        <v>452</v>
      </c>
      <c r="B88">
        <v>2017</v>
      </c>
      <c r="C88" t="s">
        <v>441</v>
      </c>
      <c r="D88">
        <v>0</v>
      </c>
      <c r="E88" t="s">
        <v>1289</v>
      </c>
      <c r="F88" t="s">
        <v>447</v>
      </c>
      <c r="G88" t="s">
        <v>448</v>
      </c>
      <c r="H88">
        <v>1</v>
      </c>
    </row>
    <row r="89" spans="1:8" x14ac:dyDescent="0.3">
      <c r="A89" t="s">
        <v>454</v>
      </c>
      <c r="B89">
        <v>2017</v>
      </c>
      <c r="C89" t="s">
        <v>441</v>
      </c>
      <c r="D89" s="1" t="s">
        <v>457</v>
      </c>
      <c r="E89" t="s">
        <v>1289</v>
      </c>
      <c r="F89" t="s">
        <v>447</v>
      </c>
      <c r="G89" t="s">
        <v>448</v>
      </c>
      <c r="H89">
        <v>1</v>
      </c>
    </row>
    <row r="90" spans="1:8" x14ac:dyDescent="0.3">
      <c r="A90" t="s">
        <v>458</v>
      </c>
      <c r="B90" t="s">
        <v>198</v>
      </c>
      <c r="C90" t="s">
        <v>460</v>
      </c>
      <c r="D90">
        <v>2.0806499999999999E-3</v>
      </c>
      <c r="E90" t="s">
        <v>198</v>
      </c>
      <c r="F90" t="s">
        <v>198</v>
      </c>
      <c r="G90" t="s">
        <v>463</v>
      </c>
      <c r="H90">
        <v>10</v>
      </c>
    </row>
    <row r="91" spans="1:8" x14ac:dyDescent="0.3">
      <c r="A91" t="s">
        <v>464</v>
      </c>
      <c r="B91" t="s">
        <v>198</v>
      </c>
      <c r="C91" t="s">
        <v>460</v>
      </c>
      <c r="D91">
        <v>2.8831000000000001E-4</v>
      </c>
      <c r="E91" t="s">
        <v>198</v>
      </c>
      <c r="F91" t="s">
        <v>198</v>
      </c>
      <c r="G91" t="s">
        <v>463</v>
      </c>
      <c r="H91">
        <v>2</v>
      </c>
    </row>
    <row r="92" spans="1:8" x14ac:dyDescent="0.3">
      <c r="A92" t="s">
        <v>468</v>
      </c>
      <c r="B92" t="s">
        <v>198</v>
      </c>
      <c r="C92" t="s">
        <v>460</v>
      </c>
      <c r="D92">
        <v>3.36872E-4</v>
      </c>
      <c r="E92" t="s">
        <v>198</v>
      </c>
      <c r="F92" t="s">
        <v>198</v>
      </c>
      <c r="G92" t="s">
        <v>463</v>
      </c>
      <c r="H92">
        <v>2</v>
      </c>
    </row>
    <row r="93" spans="1:8" x14ac:dyDescent="0.3">
      <c r="A93" t="s">
        <v>472</v>
      </c>
      <c r="B93" t="s">
        <v>198</v>
      </c>
      <c r="C93" t="s">
        <v>460</v>
      </c>
      <c r="D93">
        <v>2.2437099999999999E-3</v>
      </c>
      <c r="E93" t="s">
        <v>198</v>
      </c>
      <c r="F93" t="s">
        <v>198</v>
      </c>
      <c r="G93" t="s">
        <v>476</v>
      </c>
      <c r="H93">
        <v>2</v>
      </c>
    </row>
    <row r="94" spans="1:8" x14ac:dyDescent="0.3">
      <c r="A94" t="s">
        <v>477</v>
      </c>
      <c r="B94" t="s">
        <v>198</v>
      </c>
      <c r="C94" t="s">
        <v>479</v>
      </c>
      <c r="D94">
        <v>1.89299E-2</v>
      </c>
      <c r="E94" t="s">
        <v>198</v>
      </c>
      <c r="F94" t="s">
        <v>198</v>
      </c>
      <c r="G94" t="s">
        <v>197</v>
      </c>
      <c r="H94" t="s">
        <v>198</v>
      </c>
    </row>
    <row r="95" spans="1:8" x14ac:dyDescent="0.3">
      <c r="A95" t="s">
        <v>484</v>
      </c>
      <c r="B95" t="s">
        <v>198</v>
      </c>
      <c r="C95" t="s">
        <v>479</v>
      </c>
      <c r="D95">
        <v>4.64278E-3</v>
      </c>
      <c r="E95" t="s">
        <v>198</v>
      </c>
      <c r="F95" t="s">
        <v>198</v>
      </c>
      <c r="G95" t="s">
        <v>197</v>
      </c>
      <c r="H95">
        <v>1093</v>
      </c>
    </row>
    <row r="96" spans="1:8" x14ac:dyDescent="0.3">
      <c r="A96" t="s">
        <v>488</v>
      </c>
      <c r="B96" t="s">
        <v>198</v>
      </c>
      <c r="C96" t="s">
        <v>479</v>
      </c>
      <c r="D96">
        <v>6.5615400000000005E-4</v>
      </c>
      <c r="E96" t="s">
        <v>198</v>
      </c>
      <c r="F96" t="s">
        <v>198</v>
      </c>
      <c r="G96" t="s">
        <v>197</v>
      </c>
      <c r="H96">
        <v>85</v>
      </c>
    </row>
    <row r="97" spans="1:8" x14ac:dyDescent="0.3">
      <c r="A97" t="s">
        <v>492</v>
      </c>
      <c r="B97" t="s">
        <v>198</v>
      </c>
      <c r="C97" t="s">
        <v>479</v>
      </c>
      <c r="D97">
        <v>9.56583E-4</v>
      </c>
      <c r="E97" t="s">
        <v>198</v>
      </c>
      <c r="F97" t="s">
        <v>198</v>
      </c>
      <c r="G97" t="s">
        <v>197</v>
      </c>
      <c r="H97">
        <v>2</v>
      </c>
    </row>
    <row r="98" spans="1:8" x14ac:dyDescent="0.3">
      <c r="A98" t="s">
        <v>496</v>
      </c>
      <c r="B98" t="s">
        <v>198</v>
      </c>
      <c r="C98" t="s">
        <v>479</v>
      </c>
      <c r="D98">
        <v>9.8187100000000005E-4</v>
      </c>
      <c r="E98" t="s">
        <v>198</v>
      </c>
      <c r="F98" t="s">
        <v>198</v>
      </c>
      <c r="G98" t="s">
        <v>197</v>
      </c>
      <c r="H98">
        <v>2</v>
      </c>
    </row>
    <row r="99" spans="1:8" x14ac:dyDescent="0.3">
      <c r="A99" t="s">
        <v>498</v>
      </c>
      <c r="B99" t="s">
        <v>198</v>
      </c>
      <c r="C99" t="s">
        <v>479</v>
      </c>
      <c r="D99">
        <v>1.86568E-3</v>
      </c>
      <c r="E99" t="s">
        <v>198</v>
      </c>
      <c r="F99" t="s">
        <v>198</v>
      </c>
      <c r="G99" t="s">
        <v>197</v>
      </c>
      <c r="H99">
        <v>821</v>
      </c>
    </row>
    <row r="100" spans="1:8" x14ac:dyDescent="0.3">
      <c r="A100" t="s">
        <v>501</v>
      </c>
      <c r="B100" t="s">
        <v>198</v>
      </c>
      <c r="C100" t="s">
        <v>479</v>
      </c>
      <c r="D100">
        <v>9.56583E-4</v>
      </c>
      <c r="E100" t="s">
        <v>198</v>
      </c>
      <c r="F100" t="s">
        <v>198</v>
      </c>
      <c r="G100" t="s">
        <v>197</v>
      </c>
      <c r="H100">
        <v>2</v>
      </c>
    </row>
    <row r="101" spans="1:8" x14ac:dyDescent="0.3">
      <c r="A101" t="s">
        <v>503</v>
      </c>
      <c r="B101" t="s">
        <v>198</v>
      </c>
      <c r="C101" t="s">
        <v>479</v>
      </c>
      <c r="D101">
        <v>2.16198E-3</v>
      </c>
      <c r="E101" t="s">
        <v>198</v>
      </c>
      <c r="F101" t="s">
        <v>198</v>
      </c>
      <c r="G101" t="s">
        <v>197</v>
      </c>
      <c r="H101">
        <v>267</v>
      </c>
    </row>
    <row r="102" spans="1:8" x14ac:dyDescent="0.3">
      <c r="A102" t="s">
        <v>506</v>
      </c>
      <c r="B102" t="s">
        <v>198</v>
      </c>
      <c r="C102" t="s">
        <v>479</v>
      </c>
      <c r="D102">
        <v>9.56583E-4</v>
      </c>
      <c r="E102" t="s">
        <v>198</v>
      </c>
      <c r="F102" t="s">
        <v>198</v>
      </c>
      <c r="G102" t="s">
        <v>197</v>
      </c>
      <c r="H102">
        <v>2</v>
      </c>
    </row>
    <row r="103" spans="1:8" x14ac:dyDescent="0.3">
      <c r="A103" t="s">
        <v>508</v>
      </c>
      <c r="B103" t="s">
        <v>198</v>
      </c>
      <c r="C103" t="s">
        <v>479</v>
      </c>
      <c r="D103">
        <v>4.3443900000000001E-4</v>
      </c>
      <c r="E103" t="s">
        <v>198</v>
      </c>
      <c r="F103" t="s">
        <v>198</v>
      </c>
      <c r="G103" t="s">
        <v>197</v>
      </c>
      <c r="H103">
        <v>85</v>
      </c>
    </row>
    <row r="104" spans="1:8" x14ac:dyDescent="0.3">
      <c r="A104" t="s">
        <v>511</v>
      </c>
      <c r="B104" t="s">
        <v>198</v>
      </c>
      <c r="C104" t="s">
        <v>479</v>
      </c>
      <c r="D104">
        <v>6.3136799999999999E-4</v>
      </c>
      <c r="E104" t="s">
        <v>198</v>
      </c>
      <c r="F104" t="s">
        <v>198</v>
      </c>
      <c r="G104" t="s">
        <v>197</v>
      </c>
      <c r="H104">
        <v>1</v>
      </c>
    </row>
    <row r="105" spans="1:8" x14ac:dyDescent="0.3">
      <c r="A105" t="s">
        <v>514</v>
      </c>
      <c r="B105" t="s">
        <v>198</v>
      </c>
      <c r="C105" t="s">
        <v>479</v>
      </c>
      <c r="D105">
        <v>9.56583E-4</v>
      </c>
      <c r="E105" t="s">
        <v>198</v>
      </c>
      <c r="F105" t="s">
        <v>198</v>
      </c>
      <c r="G105" t="s">
        <v>197</v>
      </c>
      <c r="H105">
        <v>2</v>
      </c>
    </row>
    <row r="106" spans="1:8" x14ac:dyDescent="0.3">
      <c r="A106" t="s">
        <v>516</v>
      </c>
      <c r="B106" t="s">
        <v>198</v>
      </c>
      <c r="C106" t="s">
        <v>479</v>
      </c>
      <c r="D106">
        <v>3.1257300000000002E-4</v>
      </c>
      <c r="E106" t="s">
        <v>198</v>
      </c>
      <c r="F106" t="s">
        <v>198</v>
      </c>
      <c r="G106" t="s">
        <v>197</v>
      </c>
      <c r="H106">
        <v>85</v>
      </c>
    </row>
    <row r="107" spans="1:8" x14ac:dyDescent="0.3">
      <c r="A107" t="s">
        <v>519</v>
      </c>
      <c r="B107" t="s">
        <v>198</v>
      </c>
      <c r="C107" t="s">
        <v>479</v>
      </c>
      <c r="D107">
        <v>9.8187100000000005E-4</v>
      </c>
      <c r="E107" t="s">
        <v>198</v>
      </c>
      <c r="F107" t="s">
        <v>198</v>
      </c>
      <c r="G107" t="s">
        <v>197</v>
      </c>
      <c r="H107">
        <v>2</v>
      </c>
    </row>
    <row r="108" spans="1:8" x14ac:dyDescent="0.3">
      <c r="A108" t="s">
        <v>521</v>
      </c>
      <c r="B108" t="s">
        <v>198</v>
      </c>
      <c r="C108" t="s">
        <v>479</v>
      </c>
      <c r="D108">
        <v>8.8095299999999997E-4</v>
      </c>
      <c r="E108" t="s">
        <v>198</v>
      </c>
      <c r="F108" t="s">
        <v>198</v>
      </c>
      <c r="G108" t="s">
        <v>197</v>
      </c>
      <c r="H108">
        <v>85</v>
      </c>
    </row>
    <row r="109" spans="1:8" x14ac:dyDescent="0.3">
      <c r="A109" t="s">
        <v>525</v>
      </c>
      <c r="B109" t="s">
        <v>198</v>
      </c>
      <c r="C109" t="s">
        <v>479</v>
      </c>
      <c r="D109">
        <v>9.8187100000000005E-4</v>
      </c>
      <c r="E109" t="s">
        <v>198</v>
      </c>
      <c r="F109" t="s">
        <v>198</v>
      </c>
      <c r="G109" t="s">
        <v>197</v>
      </c>
      <c r="H109">
        <v>2</v>
      </c>
    </row>
    <row r="110" spans="1:8" x14ac:dyDescent="0.3">
      <c r="A110" t="s">
        <v>527</v>
      </c>
      <c r="B110" t="s">
        <v>198</v>
      </c>
      <c r="C110" t="s">
        <v>479</v>
      </c>
      <c r="D110">
        <v>9.8187100000000005E-4</v>
      </c>
      <c r="E110" t="s">
        <v>198</v>
      </c>
      <c r="F110" t="s">
        <v>198</v>
      </c>
      <c r="G110" t="s">
        <v>197</v>
      </c>
      <c r="H110">
        <v>2</v>
      </c>
    </row>
    <row r="111" spans="1:8" x14ac:dyDescent="0.3">
      <c r="A111" t="s">
        <v>529</v>
      </c>
      <c r="B111" t="s">
        <v>198</v>
      </c>
      <c r="C111" t="s">
        <v>479</v>
      </c>
      <c r="D111">
        <v>6.3136799999999999E-4</v>
      </c>
      <c r="E111" t="s">
        <v>198</v>
      </c>
      <c r="F111" t="s">
        <v>198</v>
      </c>
      <c r="G111" t="s">
        <v>197</v>
      </c>
      <c r="H111">
        <v>1</v>
      </c>
    </row>
    <row r="112" spans="1:8" x14ac:dyDescent="0.3">
      <c r="A112" t="s">
        <v>531</v>
      </c>
      <c r="B112" t="s">
        <v>198</v>
      </c>
      <c r="C112" t="s">
        <v>479</v>
      </c>
      <c r="D112">
        <v>8.0567300000000002E-4</v>
      </c>
      <c r="E112" t="s">
        <v>198</v>
      </c>
      <c r="F112" t="s">
        <v>198</v>
      </c>
      <c r="G112" t="s">
        <v>197</v>
      </c>
      <c r="H112">
        <v>25</v>
      </c>
    </row>
    <row r="113" spans="1:8" x14ac:dyDescent="0.3">
      <c r="A113" t="s">
        <v>535</v>
      </c>
      <c r="B113" t="s">
        <v>198</v>
      </c>
      <c r="C113" t="s">
        <v>479</v>
      </c>
      <c r="D113">
        <v>9.56583E-4</v>
      </c>
      <c r="E113" t="s">
        <v>198</v>
      </c>
      <c r="F113" t="s">
        <v>198</v>
      </c>
      <c r="G113" t="s">
        <v>197</v>
      </c>
      <c r="H113">
        <v>2</v>
      </c>
    </row>
    <row r="114" spans="1:8" x14ac:dyDescent="0.3">
      <c r="A114" t="s">
        <v>537</v>
      </c>
      <c r="B114" t="s">
        <v>198</v>
      </c>
      <c r="C114" t="s">
        <v>479</v>
      </c>
      <c r="D114">
        <v>9.8187100000000005E-4</v>
      </c>
      <c r="E114" t="s">
        <v>198</v>
      </c>
      <c r="F114" t="s">
        <v>198</v>
      </c>
      <c r="G114" t="s">
        <v>197</v>
      </c>
      <c r="H114">
        <v>2</v>
      </c>
    </row>
    <row r="115" spans="1:8" x14ac:dyDescent="0.3">
      <c r="A115" t="s">
        <v>539</v>
      </c>
      <c r="B115" t="s">
        <v>198</v>
      </c>
      <c r="C115" t="s">
        <v>479</v>
      </c>
      <c r="D115">
        <v>4.0999199999999997E-4</v>
      </c>
      <c r="E115" t="s">
        <v>198</v>
      </c>
      <c r="F115" t="s">
        <v>198</v>
      </c>
      <c r="G115" t="s">
        <v>197</v>
      </c>
      <c r="H115">
        <v>25</v>
      </c>
    </row>
    <row r="116" spans="1:8" x14ac:dyDescent="0.3">
      <c r="A116" t="s">
        <v>542</v>
      </c>
      <c r="B116" t="s">
        <v>198</v>
      </c>
      <c r="C116" t="s">
        <v>479</v>
      </c>
      <c r="D116">
        <v>1.91916E-3</v>
      </c>
      <c r="E116" t="s">
        <v>198</v>
      </c>
      <c r="F116" t="s">
        <v>198</v>
      </c>
      <c r="G116" t="s">
        <v>197</v>
      </c>
      <c r="H116">
        <v>164</v>
      </c>
    </row>
    <row r="117" spans="1:8" x14ac:dyDescent="0.3">
      <c r="A117" t="s">
        <v>545</v>
      </c>
      <c r="B117" t="s">
        <v>198</v>
      </c>
      <c r="C117" t="s">
        <v>479</v>
      </c>
      <c r="D117">
        <v>7.7809200000000002E-3</v>
      </c>
      <c r="E117" t="s">
        <v>198</v>
      </c>
      <c r="F117" t="s">
        <v>198</v>
      </c>
      <c r="G117" t="s">
        <v>197</v>
      </c>
      <c r="H117" t="s">
        <v>198</v>
      </c>
    </row>
    <row r="118" spans="1:8" x14ac:dyDescent="0.3">
      <c r="A118" t="s">
        <v>547</v>
      </c>
      <c r="B118" t="s">
        <v>198</v>
      </c>
      <c r="C118" t="s">
        <v>479</v>
      </c>
      <c r="D118">
        <v>4.5892399999999999E-4</v>
      </c>
      <c r="E118" t="s">
        <v>198</v>
      </c>
      <c r="F118" t="s">
        <v>198</v>
      </c>
      <c r="G118" t="s">
        <v>197</v>
      </c>
      <c r="H118">
        <v>85</v>
      </c>
    </row>
    <row r="119" spans="1:8" x14ac:dyDescent="0.3">
      <c r="A119" t="s">
        <v>550</v>
      </c>
      <c r="B119" t="s">
        <v>198</v>
      </c>
      <c r="C119" t="s">
        <v>479</v>
      </c>
      <c r="D119">
        <v>9.56583E-4</v>
      </c>
      <c r="E119" t="s">
        <v>198</v>
      </c>
      <c r="F119" t="s">
        <v>198</v>
      </c>
      <c r="G119" t="s">
        <v>197</v>
      </c>
      <c r="H119">
        <v>2</v>
      </c>
    </row>
    <row r="120" spans="1:8" x14ac:dyDescent="0.3">
      <c r="A120" t="s">
        <v>552</v>
      </c>
      <c r="B120" t="s">
        <v>198</v>
      </c>
      <c r="C120" t="s">
        <v>479</v>
      </c>
      <c r="D120">
        <v>9.5682600000000003E-3</v>
      </c>
      <c r="E120" t="s">
        <v>198</v>
      </c>
      <c r="F120" t="s">
        <v>198</v>
      </c>
      <c r="G120" t="s">
        <v>197</v>
      </c>
      <c r="H120" t="s">
        <v>198</v>
      </c>
    </row>
    <row r="121" spans="1:8" x14ac:dyDescent="0.3">
      <c r="A121" t="s">
        <v>555</v>
      </c>
      <c r="B121" t="s">
        <v>198</v>
      </c>
      <c r="C121" t="s">
        <v>479</v>
      </c>
      <c r="D121">
        <v>8.0567300000000002E-4</v>
      </c>
      <c r="E121" t="s">
        <v>198</v>
      </c>
      <c r="F121" t="s">
        <v>198</v>
      </c>
      <c r="G121" t="s">
        <v>197</v>
      </c>
      <c r="H121">
        <v>85</v>
      </c>
    </row>
    <row r="122" spans="1:8" x14ac:dyDescent="0.3">
      <c r="A122" t="s">
        <v>557</v>
      </c>
      <c r="B122" t="s">
        <v>198</v>
      </c>
      <c r="C122" t="s">
        <v>479</v>
      </c>
      <c r="D122">
        <v>9.56583E-4</v>
      </c>
      <c r="E122" t="s">
        <v>198</v>
      </c>
      <c r="F122" t="s">
        <v>198</v>
      </c>
      <c r="G122" t="s">
        <v>197</v>
      </c>
      <c r="H122">
        <v>85</v>
      </c>
    </row>
    <row r="123" spans="1:8" x14ac:dyDescent="0.3">
      <c r="A123" t="s">
        <v>559</v>
      </c>
      <c r="B123" t="s">
        <v>198</v>
      </c>
      <c r="C123" t="s">
        <v>479</v>
      </c>
      <c r="D123">
        <v>9.2055499999999998E-3</v>
      </c>
      <c r="E123" t="s">
        <v>198</v>
      </c>
      <c r="F123" t="s">
        <v>198</v>
      </c>
      <c r="G123" t="s">
        <v>197</v>
      </c>
      <c r="H123" t="s">
        <v>198</v>
      </c>
    </row>
    <row r="124" spans="1:8" x14ac:dyDescent="0.3">
      <c r="A124" t="s">
        <v>561</v>
      </c>
      <c r="B124" t="s">
        <v>198</v>
      </c>
      <c r="C124" t="s">
        <v>479</v>
      </c>
      <c r="D124">
        <v>9.2455200000000001E-3</v>
      </c>
      <c r="E124" t="s">
        <v>198</v>
      </c>
      <c r="F124" t="s">
        <v>198</v>
      </c>
      <c r="G124" t="s">
        <v>197</v>
      </c>
      <c r="H124" t="s">
        <v>198</v>
      </c>
    </row>
    <row r="125" spans="1:8" x14ac:dyDescent="0.3">
      <c r="A125" t="s">
        <v>564</v>
      </c>
      <c r="B125" t="s">
        <v>198</v>
      </c>
      <c r="C125" t="s">
        <v>479</v>
      </c>
      <c r="D125">
        <v>1.0229800000000001E-2</v>
      </c>
      <c r="E125" t="s">
        <v>198</v>
      </c>
      <c r="F125" t="s">
        <v>198</v>
      </c>
      <c r="G125" t="s">
        <v>197</v>
      </c>
      <c r="H125" t="s">
        <v>198</v>
      </c>
    </row>
    <row r="126" spans="1:8" x14ac:dyDescent="0.3">
      <c r="A126" t="s">
        <v>567</v>
      </c>
      <c r="B126" t="s">
        <v>198</v>
      </c>
      <c r="C126" t="s">
        <v>479</v>
      </c>
      <c r="D126">
        <v>4.3443900000000001E-4</v>
      </c>
      <c r="E126" t="s">
        <v>198</v>
      </c>
      <c r="F126" t="s">
        <v>198</v>
      </c>
      <c r="G126" t="s">
        <v>197</v>
      </c>
      <c r="H126">
        <v>85</v>
      </c>
    </row>
    <row r="127" spans="1:8" x14ac:dyDescent="0.3">
      <c r="A127" t="s">
        <v>569</v>
      </c>
      <c r="B127" t="s">
        <v>198</v>
      </c>
      <c r="C127" t="s">
        <v>479</v>
      </c>
      <c r="D127">
        <v>4.3443900000000001E-4</v>
      </c>
      <c r="E127" t="s">
        <v>198</v>
      </c>
      <c r="F127" t="s">
        <v>198</v>
      </c>
      <c r="G127" t="s">
        <v>197</v>
      </c>
      <c r="H127">
        <v>85</v>
      </c>
    </row>
    <row r="128" spans="1:8" x14ac:dyDescent="0.3">
      <c r="A128" t="s">
        <v>571</v>
      </c>
      <c r="B128">
        <v>2016</v>
      </c>
      <c r="C128" t="s">
        <v>573</v>
      </c>
      <c r="D128">
        <v>3.6372100000000001E-3</v>
      </c>
      <c r="E128" t="s">
        <v>198</v>
      </c>
      <c r="F128" t="s">
        <v>198</v>
      </c>
      <c r="G128" t="s">
        <v>574</v>
      </c>
      <c r="H128">
        <v>267</v>
      </c>
    </row>
    <row r="129" spans="1:8" x14ac:dyDescent="0.3">
      <c r="A129" t="s">
        <v>575</v>
      </c>
      <c r="B129">
        <v>2016</v>
      </c>
      <c r="C129" t="s">
        <v>573</v>
      </c>
      <c r="D129">
        <v>1.7857699999999999E-3</v>
      </c>
      <c r="E129" t="s">
        <v>198</v>
      </c>
      <c r="F129" t="s">
        <v>198</v>
      </c>
      <c r="G129" t="s">
        <v>574</v>
      </c>
      <c r="H129">
        <v>1</v>
      </c>
    </row>
    <row r="130" spans="1:8" x14ac:dyDescent="0.3">
      <c r="A130" t="s">
        <v>579</v>
      </c>
      <c r="B130">
        <v>2016</v>
      </c>
      <c r="C130" t="s">
        <v>573</v>
      </c>
      <c r="D130">
        <v>1.9728200000000001E-3</v>
      </c>
      <c r="E130" t="s">
        <v>198</v>
      </c>
      <c r="F130" t="s">
        <v>198</v>
      </c>
      <c r="G130" t="s">
        <v>574</v>
      </c>
      <c r="H130">
        <v>1</v>
      </c>
    </row>
    <row r="131" spans="1:8" x14ac:dyDescent="0.3">
      <c r="A131" t="s">
        <v>582</v>
      </c>
      <c r="B131">
        <v>2016</v>
      </c>
      <c r="C131" t="s">
        <v>573</v>
      </c>
      <c r="D131">
        <v>1.8389999999999999E-3</v>
      </c>
      <c r="E131" t="s">
        <v>198</v>
      </c>
      <c r="F131" t="s">
        <v>198</v>
      </c>
      <c r="G131" t="s">
        <v>574</v>
      </c>
      <c r="H131">
        <v>1</v>
      </c>
    </row>
    <row r="132" spans="1:8" x14ac:dyDescent="0.3">
      <c r="A132" t="s">
        <v>586</v>
      </c>
      <c r="B132">
        <v>2016</v>
      </c>
      <c r="C132" t="s">
        <v>573</v>
      </c>
      <c r="D132">
        <v>1.57453E-3</v>
      </c>
      <c r="E132" t="s">
        <v>198</v>
      </c>
      <c r="F132" t="s">
        <v>198</v>
      </c>
      <c r="G132" t="s">
        <v>574</v>
      </c>
      <c r="H132">
        <v>1</v>
      </c>
    </row>
    <row r="133" spans="1:8" x14ac:dyDescent="0.3">
      <c r="A133" t="s">
        <v>589</v>
      </c>
      <c r="B133">
        <v>2016</v>
      </c>
      <c r="C133" t="s">
        <v>573</v>
      </c>
      <c r="D133">
        <v>1.65343E-3</v>
      </c>
      <c r="E133" t="s">
        <v>198</v>
      </c>
      <c r="F133" t="s">
        <v>198</v>
      </c>
      <c r="G133" t="s">
        <v>574</v>
      </c>
      <c r="H133">
        <v>1</v>
      </c>
    </row>
    <row r="134" spans="1:8" x14ac:dyDescent="0.3">
      <c r="A134" t="s">
        <v>593</v>
      </c>
      <c r="B134">
        <v>2016</v>
      </c>
      <c r="C134" t="s">
        <v>573</v>
      </c>
      <c r="D134">
        <v>1.7857699999999999E-3</v>
      </c>
      <c r="E134" t="s">
        <v>198</v>
      </c>
      <c r="F134" t="s">
        <v>198</v>
      </c>
      <c r="G134" t="s">
        <v>197</v>
      </c>
      <c r="H134">
        <v>2</v>
      </c>
    </row>
    <row r="135" spans="1:8" x14ac:dyDescent="0.3">
      <c r="A135" t="s">
        <v>596</v>
      </c>
      <c r="B135">
        <v>2016</v>
      </c>
      <c r="C135" t="s">
        <v>573</v>
      </c>
      <c r="D135">
        <v>3.9359299999999998E-3</v>
      </c>
      <c r="E135" t="s">
        <v>198</v>
      </c>
      <c r="F135" t="s">
        <v>198</v>
      </c>
      <c r="G135" t="s">
        <v>197</v>
      </c>
      <c r="H135">
        <v>10</v>
      </c>
    </row>
    <row r="136" spans="1:8" x14ac:dyDescent="0.3">
      <c r="A136" t="s">
        <v>600</v>
      </c>
      <c r="B136">
        <v>2016</v>
      </c>
      <c r="C136" t="s">
        <v>573</v>
      </c>
      <c r="D136">
        <v>1.91916E-3</v>
      </c>
      <c r="E136" t="s">
        <v>198</v>
      </c>
      <c r="F136" t="s">
        <v>198</v>
      </c>
      <c r="G136" t="s">
        <v>197</v>
      </c>
      <c r="H136">
        <v>575</v>
      </c>
    </row>
    <row r="137" spans="1:8" x14ac:dyDescent="0.3">
      <c r="A137" t="s">
        <v>603</v>
      </c>
      <c r="B137">
        <v>2016</v>
      </c>
      <c r="C137" t="s">
        <v>573</v>
      </c>
      <c r="D137">
        <v>2.0536299999999999E-3</v>
      </c>
      <c r="E137" t="s">
        <v>198</v>
      </c>
      <c r="F137" t="s">
        <v>198</v>
      </c>
      <c r="G137" t="s">
        <v>607</v>
      </c>
      <c r="H137">
        <v>52</v>
      </c>
    </row>
    <row r="138" spans="1:8" x14ac:dyDescent="0.3">
      <c r="A138" t="s">
        <v>608</v>
      </c>
      <c r="B138">
        <v>2016</v>
      </c>
      <c r="C138" t="s">
        <v>573</v>
      </c>
      <c r="D138">
        <v>4.8344600000000001E-4</v>
      </c>
      <c r="E138" t="s">
        <v>198</v>
      </c>
      <c r="F138" t="s">
        <v>198</v>
      </c>
      <c r="G138" t="s">
        <v>448</v>
      </c>
      <c r="H138">
        <v>1</v>
      </c>
    </row>
    <row r="139" spans="1:8" x14ac:dyDescent="0.3">
      <c r="A139" t="s">
        <v>612</v>
      </c>
      <c r="B139">
        <v>2016</v>
      </c>
      <c r="C139" t="s">
        <v>573</v>
      </c>
      <c r="D139">
        <v>2.2164200000000002E-3</v>
      </c>
      <c r="E139" t="s">
        <v>198</v>
      </c>
      <c r="F139" t="s">
        <v>198</v>
      </c>
      <c r="G139" t="s">
        <v>448</v>
      </c>
      <c r="H139">
        <v>164</v>
      </c>
    </row>
    <row r="140" spans="1:8" x14ac:dyDescent="0.3">
      <c r="A140" t="s">
        <v>616</v>
      </c>
      <c r="B140">
        <v>2016</v>
      </c>
      <c r="C140" t="s">
        <v>573</v>
      </c>
      <c r="D140">
        <v>2.0536299999999999E-3</v>
      </c>
      <c r="E140" t="s">
        <v>198</v>
      </c>
      <c r="F140" t="s">
        <v>198</v>
      </c>
      <c r="G140" t="s">
        <v>448</v>
      </c>
      <c r="H140">
        <v>164</v>
      </c>
    </row>
    <row r="141" spans="1:8" x14ac:dyDescent="0.3">
      <c r="A141" t="s">
        <v>618</v>
      </c>
      <c r="B141" t="s">
        <v>198</v>
      </c>
      <c r="C141" t="s">
        <v>620</v>
      </c>
      <c r="D141">
        <v>5.3460599999999997E-3</v>
      </c>
      <c r="E141" t="s">
        <v>1299</v>
      </c>
      <c r="F141" t="s">
        <v>198</v>
      </c>
      <c r="G141" t="s">
        <v>622</v>
      </c>
      <c r="H141">
        <v>602</v>
      </c>
    </row>
    <row r="142" spans="1:8" x14ac:dyDescent="0.3">
      <c r="A142" t="s">
        <v>623</v>
      </c>
      <c r="B142" t="s">
        <v>198</v>
      </c>
      <c r="C142" t="s">
        <v>620</v>
      </c>
      <c r="D142">
        <v>1.0072E-3</v>
      </c>
      <c r="E142" t="s">
        <v>1300</v>
      </c>
      <c r="F142" t="s">
        <v>198</v>
      </c>
      <c r="G142" t="s">
        <v>622</v>
      </c>
      <c r="H142">
        <v>1</v>
      </c>
    </row>
    <row r="143" spans="1:8" x14ac:dyDescent="0.3">
      <c r="A143" t="s">
        <v>626</v>
      </c>
      <c r="B143" t="s">
        <v>198</v>
      </c>
      <c r="C143" t="s">
        <v>620</v>
      </c>
      <c r="D143">
        <v>2.8831000000000001E-4</v>
      </c>
      <c r="E143" t="s">
        <v>1300</v>
      </c>
      <c r="F143" t="s">
        <v>198</v>
      </c>
      <c r="G143" t="s">
        <v>622</v>
      </c>
      <c r="H143">
        <v>1</v>
      </c>
    </row>
    <row r="144" spans="1:8" x14ac:dyDescent="0.3">
      <c r="A144" t="s">
        <v>629</v>
      </c>
      <c r="B144" t="s">
        <v>198</v>
      </c>
      <c r="C144" t="s">
        <v>620</v>
      </c>
      <c r="D144">
        <v>3.36872E-4</v>
      </c>
      <c r="E144" t="s">
        <v>1300</v>
      </c>
      <c r="F144" t="s">
        <v>198</v>
      </c>
      <c r="G144" t="s">
        <v>622</v>
      </c>
      <c r="H144">
        <v>1</v>
      </c>
    </row>
    <row r="145" spans="1:8" x14ac:dyDescent="0.3">
      <c r="A145" t="s">
        <v>631</v>
      </c>
      <c r="B145" t="s">
        <v>198</v>
      </c>
      <c r="C145" t="s">
        <v>620</v>
      </c>
      <c r="D145">
        <v>9.0612399999999904E-4</v>
      </c>
      <c r="E145" t="s">
        <v>1300</v>
      </c>
      <c r="F145" t="s">
        <v>198</v>
      </c>
      <c r="G145" t="s">
        <v>622</v>
      </c>
      <c r="H145">
        <v>25</v>
      </c>
    </row>
    <row r="146" spans="1:8" x14ac:dyDescent="0.3">
      <c r="A146" t="s">
        <v>634</v>
      </c>
      <c r="B146" t="s">
        <v>198</v>
      </c>
      <c r="C146" t="s">
        <v>620</v>
      </c>
      <c r="D146">
        <v>5.3460599999999997E-3</v>
      </c>
      <c r="E146" t="s">
        <v>1300</v>
      </c>
      <c r="F146" t="s">
        <v>198</v>
      </c>
      <c r="G146" t="s">
        <v>622</v>
      </c>
      <c r="H146">
        <v>602</v>
      </c>
    </row>
    <row r="147" spans="1:8" x14ac:dyDescent="0.3">
      <c r="A147" t="s">
        <v>636</v>
      </c>
      <c r="B147" t="s">
        <v>198</v>
      </c>
      <c r="C147" t="s">
        <v>620</v>
      </c>
      <c r="D147">
        <v>8.3072799999999998E-4</v>
      </c>
      <c r="E147" t="s">
        <v>1301</v>
      </c>
      <c r="F147" t="s">
        <v>198</v>
      </c>
      <c r="G147" t="s">
        <v>622</v>
      </c>
      <c r="H147">
        <v>25</v>
      </c>
    </row>
    <row r="148" spans="1:8" x14ac:dyDescent="0.3">
      <c r="A148" t="s">
        <v>638</v>
      </c>
      <c r="B148" t="s">
        <v>198</v>
      </c>
      <c r="C148" t="s">
        <v>620</v>
      </c>
      <c r="D148">
        <v>2.8831000000000001E-4</v>
      </c>
      <c r="E148" t="s">
        <v>1302</v>
      </c>
      <c r="F148" t="s">
        <v>198</v>
      </c>
      <c r="G148" t="s">
        <v>622</v>
      </c>
      <c r="H148">
        <v>1</v>
      </c>
    </row>
    <row r="149" spans="1:8" x14ac:dyDescent="0.3">
      <c r="A149" t="s">
        <v>640</v>
      </c>
      <c r="B149" t="s">
        <v>198</v>
      </c>
      <c r="C149" t="s">
        <v>620</v>
      </c>
      <c r="D149">
        <v>8.3072799999999998E-4</v>
      </c>
      <c r="E149" t="s">
        <v>1299</v>
      </c>
      <c r="F149" t="s">
        <v>198</v>
      </c>
      <c r="G149" t="s">
        <v>622</v>
      </c>
      <c r="H149">
        <v>25</v>
      </c>
    </row>
    <row r="150" spans="1:8" x14ac:dyDescent="0.3">
      <c r="A150" t="s">
        <v>642</v>
      </c>
      <c r="B150" t="s">
        <v>198</v>
      </c>
      <c r="C150" t="s">
        <v>620</v>
      </c>
      <c r="D150">
        <v>5.3260299999999998E-4</v>
      </c>
      <c r="E150" t="s">
        <v>1298</v>
      </c>
      <c r="F150" t="s">
        <v>198</v>
      </c>
      <c r="G150" t="s">
        <v>622</v>
      </c>
      <c r="H150">
        <v>2</v>
      </c>
    </row>
    <row r="151" spans="1:8" x14ac:dyDescent="0.3">
      <c r="A151" t="s">
        <v>645</v>
      </c>
      <c r="B151" t="s">
        <v>198</v>
      </c>
      <c r="C151" t="s">
        <v>620</v>
      </c>
      <c r="D151">
        <v>3.6668600000000001E-3</v>
      </c>
      <c r="E151" t="s">
        <v>1298</v>
      </c>
      <c r="F151" t="s">
        <v>198</v>
      </c>
      <c r="G151" t="s">
        <v>622</v>
      </c>
      <c r="H151">
        <v>136</v>
      </c>
    </row>
    <row r="152" spans="1:8" x14ac:dyDescent="0.3">
      <c r="A152" t="s">
        <v>649</v>
      </c>
      <c r="B152" t="s">
        <v>198</v>
      </c>
      <c r="C152" t="s">
        <v>620</v>
      </c>
      <c r="D152">
        <v>9.3133399999999905E-4</v>
      </c>
      <c r="E152" t="s">
        <v>1298</v>
      </c>
      <c r="F152" t="s">
        <v>198</v>
      </c>
      <c r="G152" t="s">
        <v>622</v>
      </c>
      <c r="H152">
        <v>2</v>
      </c>
    </row>
    <row r="153" spans="1:8" x14ac:dyDescent="0.3">
      <c r="A153" t="s">
        <v>652</v>
      </c>
      <c r="B153" t="s">
        <v>198</v>
      </c>
      <c r="C153" t="s">
        <v>620</v>
      </c>
      <c r="D153">
        <v>7.3074100000000003E-4</v>
      </c>
      <c r="E153" t="s">
        <v>1303</v>
      </c>
      <c r="F153" t="s">
        <v>198</v>
      </c>
      <c r="G153" t="s">
        <v>622</v>
      </c>
      <c r="H153">
        <v>2</v>
      </c>
    </row>
    <row r="154" spans="1:8" x14ac:dyDescent="0.3">
      <c r="A154" t="s">
        <v>656</v>
      </c>
      <c r="B154" t="s">
        <v>198</v>
      </c>
      <c r="C154" t="s">
        <v>620</v>
      </c>
      <c r="D154">
        <v>5.8082100000000003E-3</v>
      </c>
      <c r="E154" t="s">
        <v>1299</v>
      </c>
      <c r="F154" t="s">
        <v>198</v>
      </c>
      <c r="G154" t="s">
        <v>622</v>
      </c>
      <c r="H154">
        <v>602</v>
      </c>
    </row>
    <row r="155" spans="1:8" x14ac:dyDescent="0.3">
      <c r="A155" t="s">
        <v>659</v>
      </c>
      <c r="B155" t="s">
        <v>198</v>
      </c>
      <c r="C155" t="s">
        <v>620</v>
      </c>
      <c r="D155">
        <v>3.6965499999999998E-3</v>
      </c>
      <c r="E155" t="s">
        <v>1299</v>
      </c>
      <c r="F155" t="s">
        <v>198</v>
      </c>
      <c r="G155" t="s">
        <v>622</v>
      </c>
      <c r="H155">
        <v>136</v>
      </c>
    </row>
    <row r="156" spans="1:8" x14ac:dyDescent="0.3">
      <c r="A156" t="s">
        <v>662</v>
      </c>
      <c r="B156" t="s">
        <v>198</v>
      </c>
      <c r="C156" t="s">
        <v>620</v>
      </c>
      <c r="D156">
        <v>3.6668600000000001E-3</v>
      </c>
      <c r="E156" t="s">
        <v>1300</v>
      </c>
      <c r="F156" t="s">
        <v>198</v>
      </c>
      <c r="G156" t="s">
        <v>622</v>
      </c>
      <c r="H156" t="s">
        <v>198</v>
      </c>
    </row>
    <row r="157" spans="1:8" x14ac:dyDescent="0.3">
      <c r="A157" t="s">
        <v>664</v>
      </c>
      <c r="B157" t="s">
        <v>198</v>
      </c>
      <c r="C157" t="s">
        <v>620</v>
      </c>
      <c r="D157">
        <v>8.3072799999999998E-4</v>
      </c>
      <c r="E157" t="s">
        <v>1300</v>
      </c>
      <c r="F157" t="s">
        <v>198</v>
      </c>
      <c r="G157" t="s">
        <v>622</v>
      </c>
      <c r="H157">
        <v>25</v>
      </c>
    </row>
    <row r="158" spans="1:8" x14ac:dyDescent="0.3">
      <c r="A158" t="s">
        <v>666</v>
      </c>
      <c r="B158" t="s">
        <v>198</v>
      </c>
      <c r="C158" t="s">
        <v>620</v>
      </c>
      <c r="D158">
        <v>7.3074100000000003E-4</v>
      </c>
      <c r="E158" t="s">
        <v>1304</v>
      </c>
      <c r="F158" t="s">
        <v>198</v>
      </c>
      <c r="G158" t="s">
        <v>622</v>
      </c>
      <c r="H158">
        <v>2</v>
      </c>
    </row>
    <row r="159" spans="1:8" x14ac:dyDescent="0.3">
      <c r="A159" t="s">
        <v>668</v>
      </c>
      <c r="B159" t="s">
        <v>198</v>
      </c>
      <c r="C159" t="s">
        <v>620</v>
      </c>
      <c r="D159">
        <v>3.9962900000000004E-3</v>
      </c>
      <c r="E159" t="s">
        <v>1298</v>
      </c>
      <c r="F159" t="s">
        <v>198</v>
      </c>
      <c r="G159" t="s">
        <v>622</v>
      </c>
      <c r="H159">
        <v>136</v>
      </c>
    </row>
    <row r="160" spans="1:8" x14ac:dyDescent="0.3">
      <c r="A160" t="s">
        <v>671</v>
      </c>
      <c r="B160" t="s">
        <v>198</v>
      </c>
      <c r="C160" t="s">
        <v>620</v>
      </c>
      <c r="D160">
        <v>1.4438700000000001E-3</v>
      </c>
      <c r="E160" t="s">
        <v>1300</v>
      </c>
      <c r="F160" t="s">
        <v>198</v>
      </c>
      <c r="G160" t="s">
        <v>622</v>
      </c>
      <c r="H160">
        <v>2</v>
      </c>
    </row>
    <row r="161" spans="1:8" x14ac:dyDescent="0.3">
      <c r="A161" t="s">
        <v>675</v>
      </c>
      <c r="B161" t="s">
        <v>198</v>
      </c>
      <c r="C161" t="s">
        <v>620</v>
      </c>
      <c r="D161">
        <v>1.5483199999999999E-3</v>
      </c>
      <c r="E161" t="s">
        <v>1300</v>
      </c>
      <c r="F161" t="s">
        <v>198</v>
      </c>
      <c r="G161" t="s">
        <v>622</v>
      </c>
      <c r="H161">
        <v>2</v>
      </c>
    </row>
    <row r="162" spans="1:8" x14ac:dyDescent="0.3">
      <c r="A162" t="s">
        <v>679</v>
      </c>
      <c r="B162" t="s">
        <v>198</v>
      </c>
      <c r="C162" t="s">
        <v>620</v>
      </c>
      <c r="D162">
        <v>3.9359299999999998E-3</v>
      </c>
      <c r="E162" t="s">
        <v>1305</v>
      </c>
      <c r="F162" t="s">
        <v>198</v>
      </c>
      <c r="G162" t="s">
        <v>622</v>
      </c>
      <c r="H162">
        <v>136</v>
      </c>
    </row>
    <row r="163" spans="1:8" x14ac:dyDescent="0.3">
      <c r="A163" t="s">
        <v>681</v>
      </c>
      <c r="B163" t="s">
        <v>198</v>
      </c>
      <c r="C163" t="s">
        <v>683</v>
      </c>
      <c r="D163">
        <v>7.0584100000000002E-4</v>
      </c>
      <c r="E163" t="s">
        <v>198</v>
      </c>
      <c r="F163" t="s">
        <v>198</v>
      </c>
      <c r="G163" t="s">
        <v>476</v>
      </c>
      <c r="H163">
        <v>2</v>
      </c>
    </row>
    <row r="164" spans="1:8" x14ac:dyDescent="0.3">
      <c r="A164" t="s">
        <v>685</v>
      </c>
      <c r="B164" t="s">
        <v>198</v>
      </c>
      <c r="C164" t="s">
        <v>683</v>
      </c>
      <c r="D164">
        <v>1.2626499999999999E-3</v>
      </c>
      <c r="E164" t="s">
        <v>198</v>
      </c>
      <c r="F164" t="s">
        <v>198</v>
      </c>
      <c r="G164" t="s">
        <v>476</v>
      </c>
      <c r="H164">
        <v>2</v>
      </c>
    </row>
    <row r="165" spans="1:8" x14ac:dyDescent="0.3">
      <c r="A165" t="s">
        <v>688</v>
      </c>
      <c r="B165" t="s">
        <v>198</v>
      </c>
      <c r="C165" t="s">
        <v>683</v>
      </c>
      <c r="D165">
        <v>2.5746300000000001E-3</v>
      </c>
      <c r="E165" t="s">
        <v>198</v>
      </c>
      <c r="F165" t="s">
        <v>198</v>
      </c>
      <c r="G165" t="s">
        <v>476</v>
      </c>
      <c r="H165">
        <v>158</v>
      </c>
    </row>
    <row r="166" spans="1:8" x14ac:dyDescent="0.3">
      <c r="A166" t="s">
        <v>692</v>
      </c>
      <c r="B166" t="s">
        <v>198</v>
      </c>
      <c r="C166" t="s">
        <v>683</v>
      </c>
      <c r="D166">
        <v>1.2626499999999999E-3</v>
      </c>
      <c r="E166" t="s">
        <v>198</v>
      </c>
      <c r="F166" t="s">
        <v>198</v>
      </c>
      <c r="G166" t="s">
        <v>476</v>
      </c>
      <c r="H166">
        <v>2</v>
      </c>
    </row>
    <row r="167" spans="1:8" x14ac:dyDescent="0.3">
      <c r="A167" t="s">
        <v>694</v>
      </c>
      <c r="B167" t="s">
        <v>198</v>
      </c>
      <c r="C167" t="s">
        <v>683</v>
      </c>
      <c r="D167">
        <v>6.5615399999999896E-4</v>
      </c>
      <c r="E167" t="s">
        <v>198</v>
      </c>
      <c r="F167" t="s">
        <v>198</v>
      </c>
      <c r="G167" t="s">
        <v>476</v>
      </c>
      <c r="H167">
        <v>2</v>
      </c>
    </row>
    <row r="168" spans="1:8" x14ac:dyDescent="0.3">
      <c r="A168" t="s">
        <v>696</v>
      </c>
      <c r="B168" t="s">
        <v>198</v>
      </c>
      <c r="C168" t="s">
        <v>683</v>
      </c>
      <c r="D168">
        <v>2.2437099999999999E-3</v>
      </c>
      <c r="E168" t="s">
        <v>198</v>
      </c>
      <c r="F168" t="s">
        <v>198</v>
      </c>
      <c r="G168" t="s">
        <v>476</v>
      </c>
      <c r="H168">
        <v>2</v>
      </c>
    </row>
    <row r="169" spans="1:8" x14ac:dyDescent="0.3">
      <c r="A169" t="s">
        <v>699</v>
      </c>
      <c r="B169" t="s">
        <v>198</v>
      </c>
      <c r="C169" t="s">
        <v>479</v>
      </c>
      <c r="D169">
        <v>2.2984199999999998E-3</v>
      </c>
      <c r="E169" t="s">
        <v>198</v>
      </c>
      <c r="F169" t="s">
        <v>198</v>
      </c>
      <c r="G169" t="s">
        <v>197</v>
      </c>
      <c r="H169">
        <v>149</v>
      </c>
    </row>
    <row r="170" spans="1:8" x14ac:dyDescent="0.3">
      <c r="A170" t="s">
        <v>702</v>
      </c>
      <c r="B170" t="s">
        <v>198</v>
      </c>
      <c r="C170" t="s">
        <v>479</v>
      </c>
      <c r="D170">
        <v>8.4610099999999997E-3</v>
      </c>
      <c r="E170" t="s">
        <v>198</v>
      </c>
      <c r="F170" t="s">
        <v>198</v>
      </c>
      <c r="G170" t="s">
        <v>197</v>
      </c>
      <c r="H170">
        <v>1866</v>
      </c>
    </row>
    <row r="171" spans="1:8" x14ac:dyDescent="0.3">
      <c r="A171" t="s">
        <v>706</v>
      </c>
      <c r="B171" t="s">
        <v>198</v>
      </c>
      <c r="C171" t="s">
        <v>479</v>
      </c>
      <c r="D171">
        <v>1.41786E-3</v>
      </c>
      <c r="E171" t="s">
        <v>198</v>
      </c>
      <c r="F171" t="s">
        <v>198</v>
      </c>
      <c r="G171" t="s">
        <v>197</v>
      </c>
      <c r="H171">
        <v>409</v>
      </c>
    </row>
    <row r="172" spans="1:8" x14ac:dyDescent="0.3">
      <c r="A172" t="s">
        <v>709</v>
      </c>
      <c r="B172" t="s">
        <v>198</v>
      </c>
      <c r="C172" t="s">
        <v>479</v>
      </c>
      <c r="D172">
        <v>1.91916E-3</v>
      </c>
      <c r="E172" t="s">
        <v>198</v>
      </c>
      <c r="F172" t="s">
        <v>198</v>
      </c>
      <c r="G172" t="s">
        <v>197</v>
      </c>
      <c r="H172">
        <v>16</v>
      </c>
    </row>
    <row r="173" spans="1:8" x14ac:dyDescent="0.3">
      <c r="A173" t="s">
        <v>712</v>
      </c>
      <c r="B173" t="s">
        <v>198</v>
      </c>
      <c r="C173" t="s">
        <v>479</v>
      </c>
      <c r="D173">
        <v>1.91916E-3</v>
      </c>
      <c r="E173" t="s">
        <v>198</v>
      </c>
      <c r="F173" t="s">
        <v>198</v>
      </c>
      <c r="G173" t="s">
        <v>197</v>
      </c>
      <c r="H173">
        <v>164</v>
      </c>
    </row>
    <row r="174" spans="1:8" x14ac:dyDescent="0.3">
      <c r="A174" t="s">
        <v>715</v>
      </c>
      <c r="B174" t="s">
        <v>198</v>
      </c>
      <c r="C174" t="s">
        <v>479</v>
      </c>
      <c r="D174">
        <v>2.2984199999999998E-3</v>
      </c>
      <c r="E174" t="s">
        <v>198</v>
      </c>
      <c r="F174" t="s">
        <v>198</v>
      </c>
      <c r="G174" t="s">
        <v>197</v>
      </c>
      <c r="H174">
        <v>149</v>
      </c>
    </row>
    <row r="175" spans="1:8" x14ac:dyDescent="0.3">
      <c r="A175" t="s">
        <v>717</v>
      </c>
      <c r="B175" t="s">
        <v>198</v>
      </c>
      <c r="C175" t="s">
        <v>479</v>
      </c>
      <c r="D175">
        <v>8.4610099999999997E-3</v>
      </c>
      <c r="E175" t="s">
        <v>198</v>
      </c>
      <c r="F175" t="s">
        <v>198</v>
      </c>
      <c r="G175" t="s">
        <v>197</v>
      </c>
      <c r="H175">
        <v>1866</v>
      </c>
    </row>
    <row r="176" spans="1:8" x14ac:dyDescent="0.3">
      <c r="A176" t="s">
        <v>719</v>
      </c>
      <c r="B176" t="s">
        <v>198</v>
      </c>
      <c r="C176" t="s">
        <v>479</v>
      </c>
      <c r="D176">
        <v>2.6025000000000002E-3</v>
      </c>
      <c r="E176" t="s">
        <v>198</v>
      </c>
      <c r="F176" t="s">
        <v>198</v>
      </c>
      <c r="G176" t="s">
        <v>197</v>
      </c>
      <c r="H176">
        <v>32</v>
      </c>
    </row>
    <row r="177" spans="1:8" x14ac:dyDescent="0.3">
      <c r="A177" t="s">
        <v>723</v>
      </c>
      <c r="B177" t="s">
        <v>198</v>
      </c>
      <c r="C177" t="s">
        <v>479</v>
      </c>
      <c r="D177">
        <v>3.4897499999999998E-3</v>
      </c>
      <c r="E177" t="s">
        <v>198</v>
      </c>
      <c r="F177" t="s">
        <v>198</v>
      </c>
      <c r="G177" t="s">
        <v>197</v>
      </c>
      <c r="H177">
        <v>2</v>
      </c>
    </row>
    <row r="178" spans="1:8" x14ac:dyDescent="0.3">
      <c r="A178" t="s">
        <v>727</v>
      </c>
      <c r="B178" t="s">
        <v>198</v>
      </c>
      <c r="C178" t="s">
        <v>479</v>
      </c>
      <c r="D178">
        <v>9.8187100000000005E-4</v>
      </c>
      <c r="E178" t="s">
        <v>198</v>
      </c>
      <c r="F178" t="s">
        <v>198</v>
      </c>
      <c r="G178" t="s">
        <v>197</v>
      </c>
      <c r="H178">
        <v>409</v>
      </c>
    </row>
    <row r="179" spans="1:8" x14ac:dyDescent="0.3">
      <c r="A179" t="s">
        <v>729</v>
      </c>
      <c r="B179" t="s">
        <v>198</v>
      </c>
      <c r="C179" t="s">
        <v>479</v>
      </c>
      <c r="D179">
        <v>2.2984199999999998E-3</v>
      </c>
      <c r="E179" t="s">
        <v>198</v>
      </c>
      <c r="F179" t="s">
        <v>198</v>
      </c>
      <c r="G179" t="s">
        <v>197</v>
      </c>
      <c r="H179">
        <v>149</v>
      </c>
    </row>
    <row r="180" spans="1:8" x14ac:dyDescent="0.3">
      <c r="A180" t="s">
        <v>731</v>
      </c>
      <c r="B180" t="s">
        <v>198</v>
      </c>
      <c r="C180" t="s">
        <v>479</v>
      </c>
      <c r="D180">
        <v>2.8554000000000001E-3</v>
      </c>
      <c r="E180" t="s">
        <v>198</v>
      </c>
      <c r="F180" t="s">
        <v>198</v>
      </c>
      <c r="G180" t="s">
        <v>197</v>
      </c>
      <c r="H180">
        <v>203</v>
      </c>
    </row>
    <row r="181" spans="1:8" x14ac:dyDescent="0.3">
      <c r="A181" t="s">
        <v>734</v>
      </c>
      <c r="B181" t="s">
        <v>198</v>
      </c>
      <c r="C181" t="s">
        <v>479</v>
      </c>
      <c r="D181">
        <v>4.8344600000000001E-4</v>
      </c>
      <c r="E181" t="s">
        <v>198</v>
      </c>
      <c r="F181" t="s">
        <v>198</v>
      </c>
      <c r="G181" t="s">
        <v>197</v>
      </c>
      <c r="H181">
        <v>85</v>
      </c>
    </row>
    <row r="182" spans="1:8" x14ac:dyDescent="0.3">
      <c r="A182" t="s">
        <v>736</v>
      </c>
      <c r="B182" t="s">
        <v>198</v>
      </c>
      <c r="C182" t="s">
        <v>479</v>
      </c>
      <c r="D182">
        <v>2.32584E-3</v>
      </c>
      <c r="E182" t="s">
        <v>198</v>
      </c>
      <c r="F182" t="s">
        <v>198</v>
      </c>
      <c r="G182" t="s">
        <v>197</v>
      </c>
      <c r="H182">
        <v>267</v>
      </c>
    </row>
    <row r="183" spans="1:8" x14ac:dyDescent="0.3">
      <c r="A183" t="s">
        <v>739</v>
      </c>
      <c r="B183" t="s">
        <v>198</v>
      </c>
      <c r="C183" t="s">
        <v>479</v>
      </c>
      <c r="D183">
        <v>7.3074100000000003E-4</v>
      </c>
      <c r="E183" t="s">
        <v>198</v>
      </c>
      <c r="F183" t="s">
        <v>198</v>
      </c>
      <c r="G183" t="s">
        <v>197</v>
      </c>
      <c r="H183">
        <v>25</v>
      </c>
    </row>
    <row r="184" spans="1:8" x14ac:dyDescent="0.3">
      <c r="A184" t="s">
        <v>741</v>
      </c>
      <c r="B184" t="s">
        <v>198</v>
      </c>
      <c r="C184" t="s">
        <v>479</v>
      </c>
      <c r="D184">
        <v>1.36596E-3</v>
      </c>
      <c r="E184" t="s">
        <v>198</v>
      </c>
      <c r="F184" t="s">
        <v>198</v>
      </c>
      <c r="G184" t="s">
        <v>197</v>
      </c>
      <c r="H184">
        <v>25</v>
      </c>
    </row>
    <row r="185" spans="1:8" x14ac:dyDescent="0.3">
      <c r="A185" t="s">
        <v>744</v>
      </c>
      <c r="B185" t="s">
        <v>198</v>
      </c>
      <c r="C185" t="s">
        <v>479</v>
      </c>
      <c r="D185">
        <v>8.3072799999999998E-4</v>
      </c>
      <c r="E185" t="s">
        <v>198</v>
      </c>
      <c r="F185" t="s">
        <v>198</v>
      </c>
      <c r="G185" t="s">
        <v>197</v>
      </c>
      <c r="H185">
        <v>25</v>
      </c>
    </row>
    <row r="186" spans="1:8" x14ac:dyDescent="0.3">
      <c r="A186" t="s">
        <v>746</v>
      </c>
      <c r="B186" t="s">
        <v>198</v>
      </c>
      <c r="C186" t="s">
        <v>479</v>
      </c>
      <c r="D186">
        <v>5.3260299999999998E-4</v>
      </c>
      <c r="E186" t="s">
        <v>198</v>
      </c>
      <c r="F186" t="s">
        <v>198</v>
      </c>
      <c r="G186" t="s">
        <v>197</v>
      </c>
      <c r="H186">
        <v>85</v>
      </c>
    </row>
    <row r="187" spans="1:8" x14ac:dyDescent="0.3">
      <c r="A187" t="s">
        <v>748</v>
      </c>
      <c r="B187" t="s">
        <v>198</v>
      </c>
      <c r="C187" t="s">
        <v>479</v>
      </c>
      <c r="D187">
        <v>3.57808E-3</v>
      </c>
      <c r="E187" t="s">
        <v>198</v>
      </c>
      <c r="F187" t="s">
        <v>198</v>
      </c>
      <c r="G187" t="s">
        <v>197</v>
      </c>
      <c r="H187">
        <v>10</v>
      </c>
    </row>
    <row r="188" spans="1:8" x14ac:dyDescent="0.3">
      <c r="A188" t="s">
        <v>750</v>
      </c>
      <c r="B188" t="s">
        <v>198</v>
      </c>
      <c r="C188" t="s">
        <v>479</v>
      </c>
      <c r="D188">
        <v>3.57808E-3</v>
      </c>
      <c r="E188" t="s">
        <v>198</v>
      </c>
      <c r="F188" t="s">
        <v>198</v>
      </c>
      <c r="G188" t="s">
        <v>197</v>
      </c>
      <c r="H188">
        <v>10</v>
      </c>
    </row>
    <row r="189" spans="1:8" x14ac:dyDescent="0.3">
      <c r="A189" t="s">
        <v>752</v>
      </c>
      <c r="B189" t="s">
        <v>198</v>
      </c>
      <c r="C189" t="s">
        <v>479</v>
      </c>
      <c r="D189">
        <v>3.57808E-3</v>
      </c>
      <c r="E189" t="s">
        <v>198</v>
      </c>
      <c r="F189" t="s">
        <v>198</v>
      </c>
      <c r="G189" t="s">
        <v>197</v>
      </c>
      <c r="H189">
        <v>10</v>
      </c>
    </row>
    <row r="190" spans="1:8" x14ac:dyDescent="0.3">
      <c r="A190" t="s">
        <v>754</v>
      </c>
      <c r="B190" t="s">
        <v>198</v>
      </c>
      <c r="C190" t="s">
        <v>479</v>
      </c>
      <c r="D190">
        <v>1.9307899999999999E-2</v>
      </c>
      <c r="E190" t="s">
        <v>198</v>
      </c>
      <c r="F190" t="s">
        <v>198</v>
      </c>
      <c r="G190" t="s">
        <v>197</v>
      </c>
      <c r="H190" t="s">
        <v>198</v>
      </c>
    </row>
    <row r="191" spans="1:8" x14ac:dyDescent="0.3">
      <c r="A191" t="s">
        <v>757</v>
      </c>
      <c r="B191" t="s">
        <v>198</v>
      </c>
      <c r="C191" t="s">
        <v>479</v>
      </c>
      <c r="D191">
        <v>1.6798099999999999E-3</v>
      </c>
      <c r="E191" t="s">
        <v>198</v>
      </c>
      <c r="F191" t="s">
        <v>198</v>
      </c>
      <c r="G191" t="s">
        <v>197</v>
      </c>
      <c r="H191">
        <v>16</v>
      </c>
    </row>
    <row r="192" spans="1:8" x14ac:dyDescent="0.3">
      <c r="A192" t="s">
        <v>760</v>
      </c>
      <c r="B192" t="s">
        <v>198</v>
      </c>
      <c r="C192" t="s">
        <v>479</v>
      </c>
      <c r="D192">
        <v>1.6798099999999999E-3</v>
      </c>
      <c r="E192" t="s">
        <v>198</v>
      </c>
      <c r="F192" t="s">
        <v>198</v>
      </c>
      <c r="G192" t="s">
        <v>197</v>
      </c>
      <c r="H192">
        <v>16</v>
      </c>
    </row>
    <row r="193" spans="1:8" x14ac:dyDescent="0.3">
      <c r="A193" t="s">
        <v>762</v>
      </c>
      <c r="B193" t="s">
        <v>198</v>
      </c>
      <c r="C193" t="s">
        <v>479</v>
      </c>
      <c r="D193">
        <v>3.5485899999999999E-3</v>
      </c>
      <c r="E193" t="s">
        <v>198</v>
      </c>
      <c r="F193" t="s">
        <v>198</v>
      </c>
      <c r="G193" t="s">
        <v>197</v>
      </c>
      <c r="H193">
        <v>267</v>
      </c>
    </row>
    <row r="194" spans="1:8" x14ac:dyDescent="0.3">
      <c r="A194" t="s">
        <v>766</v>
      </c>
      <c r="B194" t="s">
        <v>198</v>
      </c>
      <c r="C194" t="s">
        <v>479</v>
      </c>
      <c r="D194">
        <v>3.5485899999999999E-3</v>
      </c>
      <c r="E194" t="s">
        <v>198</v>
      </c>
      <c r="F194" t="s">
        <v>198</v>
      </c>
      <c r="G194" t="s">
        <v>197</v>
      </c>
      <c r="H194">
        <v>267</v>
      </c>
    </row>
    <row r="195" spans="1:8" x14ac:dyDescent="0.3">
      <c r="A195" t="s">
        <v>768</v>
      </c>
      <c r="B195" t="s">
        <v>198</v>
      </c>
      <c r="C195" t="s">
        <v>479</v>
      </c>
      <c r="D195">
        <v>9.3133400000000002E-4</v>
      </c>
      <c r="E195" t="s">
        <v>198</v>
      </c>
      <c r="F195" t="s">
        <v>198</v>
      </c>
      <c r="G195" t="s">
        <v>197</v>
      </c>
      <c r="H195">
        <v>85</v>
      </c>
    </row>
    <row r="196" spans="1:8" x14ac:dyDescent="0.3">
      <c r="A196" t="s">
        <v>770</v>
      </c>
      <c r="B196" t="s">
        <v>198</v>
      </c>
      <c r="C196" t="s">
        <v>479</v>
      </c>
      <c r="D196">
        <v>9.3133400000000002E-4</v>
      </c>
      <c r="E196" t="s">
        <v>198</v>
      </c>
      <c r="F196" t="s">
        <v>198</v>
      </c>
      <c r="G196" t="s">
        <v>197</v>
      </c>
      <c r="H196">
        <v>85</v>
      </c>
    </row>
    <row r="197" spans="1:8" x14ac:dyDescent="0.3">
      <c r="A197" t="s">
        <v>772</v>
      </c>
      <c r="B197" t="s">
        <v>198</v>
      </c>
      <c r="C197" t="s">
        <v>479</v>
      </c>
      <c r="D197">
        <v>9.3659399999999997E-3</v>
      </c>
      <c r="E197" t="s">
        <v>198</v>
      </c>
      <c r="F197" t="s">
        <v>198</v>
      </c>
      <c r="G197" t="s">
        <v>197</v>
      </c>
      <c r="H197">
        <v>1866</v>
      </c>
    </row>
    <row r="198" spans="1:8" x14ac:dyDescent="0.3">
      <c r="A198" t="s">
        <v>775</v>
      </c>
      <c r="B198" t="s">
        <v>198</v>
      </c>
      <c r="C198" t="s">
        <v>479</v>
      </c>
      <c r="D198">
        <v>8.5582099999999999E-4</v>
      </c>
      <c r="E198" t="s">
        <v>198</v>
      </c>
      <c r="F198" t="s">
        <v>198</v>
      </c>
      <c r="G198" t="s">
        <v>197</v>
      </c>
      <c r="H198">
        <v>1</v>
      </c>
    </row>
    <row r="199" spans="1:8" x14ac:dyDescent="0.3">
      <c r="A199" t="s">
        <v>778</v>
      </c>
      <c r="B199" t="s">
        <v>198</v>
      </c>
      <c r="C199" t="s">
        <v>479</v>
      </c>
      <c r="D199">
        <v>8.8095299999999997E-4</v>
      </c>
      <c r="E199" t="s">
        <v>198</v>
      </c>
      <c r="F199" t="s">
        <v>198</v>
      </c>
      <c r="G199" t="s">
        <v>197</v>
      </c>
      <c r="H199">
        <v>1</v>
      </c>
    </row>
    <row r="200" spans="1:8" x14ac:dyDescent="0.3">
      <c r="A200" t="s">
        <v>780</v>
      </c>
      <c r="B200" t="s">
        <v>198</v>
      </c>
      <c r="C200" t="s">
        <v>479</v>
      </c>
      <c r="D200">
        <v>2.0806499999999999E-3</v>
      </c>
      <c r="E200" t="s">
        <v>198</v>
      </c>
      <c r="F200" t="s">
        <v>198</v>
      </c>
      <c r="G200" t="s">
        <v>197</v>
      </c>
      <c r="H200">
        <v>1</v>
      </c>
    </row>
    <row r="201" spans="1:8" x14ac:dyDescent="0.3">
      <c r="A201" t="s">
        <v>783</v>
      </c>
      <c r="B201" t="s">
        <v>198</v>
      </c>
      <c r="C201" t="s">
        <v>479</v>
      </c>
      <c r="D201">
        <v>2.9975399999999999E-3</v>
      </c>
      <c r="E201" t="s">
        <v>198</v>
      </c>
      <c r="F201" t="s">
        <v>198</v>
      </c>
      <c r="G201" t="s">
        <v>197</v>
      </c>
      <c r="H201">
        <v>1910</v>
      </c>
    </row>
    <row r="202" spans="1:8" x14ac:dyDescent="0.3">
      <c r="A202" t="s">
        <v>787</v>
      </c>
      <c r="B202" t="s">
        <v>198</v>
      </c>
      <c r="C202" t="s">
        <v>479</v>
      </c>
      <c r="D202">
        <v>2.2437099999999999E-3</v>
      </c>
      <c r="E202" t="s">
        <v>198</v>
      </c>
      <c r="F202" t="s">
        <v>198</v>
      </c>
      <c r="G202" t="s">
        <v>197</v>
      </c>
      <c r="H202">
        <v>338</v>
      </c>
    </row>
    <row r="203" spans="1:8" x14ac:dyDescent="0.3">
      <c r="A203" t="s">
        <v>790</v>
      </c>
      <c r="B203" t="s">
        <v>198</v>
      </c>
      <c r="C203" t="s">
        <v>479</v>
      </c>
      <c r="D203">
        <v>5.0800599999999997E-4</v>
      </c>
      <c r="E203" t="s">
        <v>198</v>
      </c>
      <c r="F203" t="s">
        <v>198</v>
      </c>
      <c r="G203" t="s">
        <v>197</v>
      </c>
      <c r="H203">
        <v>1</v>
      </c>
    </row>
    <row r="204" spans="1:8" x14ac:dyDescent="0.3">
      <c r="A204" t="s">
        <v>793</v>
      </c>
      <c r="B204" t="s">
        <v>198</v>
      </c>
      <c r="C204" t="s">
        <v>479</v>
      </c>
      <c r="D204">
        <v>4.8344600000000001E-4</v>
      </c>
      <c r="E204" t="s">
        <v>198</v>
      </c>
      <c r="F204" t="s">
        <v>198</v>
      </c>
      <c r="G204" t="s">
        <v>197</v>
      </c>
      <c r="H204">
        <v>1</v>
      </c>
    </row>
    <row r="205" spans="1:8" x14ac:dyDescent="0.3">
      <c r="A205" t="s">
        <v>795</v>
      </c>
      <c r="B205" t="s">
        <v>198</v>
      </c>
      <c r="C205" t="s">
        <v>479</v>
      </c>
      <c r="D205">
        <v>2.3533E-3</v>
      </c>
      <c r="E205" t="s">
        <v>198</v>
      </c>
      <c r="F205" t="s">
        <v>198</v>
      </c>
      <c r="G205" t="s">
        <v>197</v>
      </c>
      <c r="H205">
        <v>821</v>
      </c>
    </row>
    <row r="206" spans="1:8" x14ac:dyDescent="0.3">
      <c r="A206" t="s">
        <v>798</v>
      </c>
      <c r="B206" t="s">
        <v>198</v>
      </c>
      <c r="C206" t="s">
        <v>479</v>
      </c>
      <c r="D206">
        <v>1.98862E-2</v>
      </c>
      <c r="E206" t="s">
        <v>198</v>
      </c>
      <c r="F206" t="s">
        <v>198</v>
      </c>
      <c r="G206" t="s">
        <v>197</v>
      </c>
      <c r="H206">
        <v>1904</v>
      </c>
    </row>
    <row r="207" spans="1:8" x14ac:dyDescent="0.3">
      <c r="A207" t="s">
        <v>800</v>
      </c>
      <c r="B207" t="s">
        <v>198</v>
      </c>
      <c r="C207" t="s">
        <v>479</v>
      </c>
      <c r="D207">
        <v>1.1599900000000001E-3</v>
      </c>
      <c r="E207" t="s">
        <v>198</v>
      </c>
      <c r="F207" t="s">
        <v>198</v>
      </c>
      <c r="G207" t="s">
        <v>197</v>
      </c>
      <c r="H207">
        <v>2</v>
      </c>
    </row>
    <row r="208" spans="1:8" x14ac:dyDescent="0.3">
      <c r="A208" t="s">
        <v>803</v>
      </c>
      <c r="B208" t="s">
        <v>198</v>
      </c>
      <c r="C208" t="s">
        <v>479</v>
      </c>
      <c r="D208">
        <v>1.1599900000000001E-3</v>
      </c>
      <c r="E208" t="s">
        <v>198</v>
      </c>
      <c r="F208" t="s">
        <v>198</v>
      </c>
      <c r="G208" t="s">
        <v>197</v>
      </c>
      <c r="H208">
        <v>2</v>
      </c>
    </row>
    <row r="209" spans="1:8" x14ac:dyDescent="0.3">
      <c r="A209" t="s">
        <v>805</v>
      </c>
      <c r="B209" t="s">
        <v>198</v>
      </c>
      <c r="C209" t="s">
        <v>479</v>
      </c>
      <c r="D209">
        <v>1.1599900000000001E-3</v>
      </c>
      <c r="E209" t="s">
        <v>198</v>
      </c>
      <c r="F209" t="s">
        <v>198</v>
      </c>
      <c r="G209" t="s">
        <v>197</v>
      </c>
      <c r="H209">
        <v>2</v>
      </c>
    </row>
    <row r="210" spans="1:8" x14ac:dyDescent="0.3">
      <c r="A210" t="s">
        <v>807</v>
      </c>
      <c r="B210" t="s">
        <v>198</v>
      </c>
      <c r="C210" t="s">
        <v>479</v>
      </c>
      <c r="D210">
        <v>1.7327099999999999E-3</v>
      </c>
      <c r="E210" t="s">
        <v>198</v>
      </c>
      <c r="F210" t="s">
        <v>198</v>
      </c>
      <c r="G210" t="s">
        <v>197</v>
      </c>
      <c r="H210">
        <v>2</v>
      </c>
    </row>
    <row r="211" spans="1:8" x14ac:dyDescent="0.3">
      <c r="A211" t="s">
        <v>809</v>
      </c>
      <c r="B211" t="s">
        <v>198</v>
      </c>
      <c r="C211" t="s">
        <v>479</v>
      </c>
      <c r="D211">
        <v>3.40187E-3</v>
      </c>
      <c r="E211" t="s">
        <v>198</v>
      </c>
      <c r="F211" t="s">
        <v>198</v>
      </c>
      <c r="G211" t="s">
        <v>197</v>
      </c>
      <c r="H211">
        <v>107</v>
      </c>
    </row>
    <row r="212" spans="1:8" x14ac:dyDescent="0.3">
      <c r="A212" t="s">
        <v>813</v>
      </c>
      <c r="B212" t="s">
        <v>198</v>
      </c>
      <c r="C212" t="s">
        <v>479</v>
      </c>
      <c r="D212">
        <v>5.8191000000000004E-4</v>
      </c>
      <c r="E212" t="s">
        <v>198</v>
      </c>
      <c r="F212" t="s">
        <v>198</v>
      </c>
      <c r="G212" t="s">
        <v>197</v>
      </c>
      <c r="H212">
        <v>25</v>
      </c>
    </row>
    <row r="213" spans="1:8" x14ac:dyDescent="0.3">
      <c r="A213" t="s">
        <v>816</v>
      </c>
      <c r="B213" t="s">
        <v>198</v>
      </c>
      <c r="C213" t="s">
        <v>479</v>
      </c>
      <c r="D213">
        <v>1.94597E-3</v>
      </c>
      <c r="E213" t="s">
        <v>198</v>
      </c>
      <c r="F213" t="s">
        <v>198</v>
      </c>
      <c r="G213" t="s">
        <v>197</v>
      </c>
      <c r="H213">
        <v>52</v>
      </c>
    </row>
    <row r="214" spans="1:8" x14ac:dyDescent="0.3">
      <c r="A214" t="s">
        <v>820</v>
      </c>
      <c r="B214" t="s">
        <v>198</v>
      </c>
      <c r="C214" t="s">
        <v>479</v>
      </c>
      <c r="D214">
        <v>2.32584E-3</v>
      </c>
      <c r="E214" t="s">
        <v>198</v>
      </c>
      <c r="F214" t="s">
        <v>198</v>
      </c>
      <c r="G214" t="s">
        <v>197</v>
      </c>
      <c r="H214">
        <v>821</v>
      </c>
    </row>
    <row r="215" spans="1:8" x14ac:dyDescent="0.3">
      <c r="A215" t="s">
        <v>822</v>
      </c>
      <c r="B215" t="s">
        <v>198</v>
      </c>
      <c r="C215" t="s">
        <v>479</v>
      </c>
      <c r="D215">
        <v>2.32584E-3</v>
      </c>
      <c r="E215" t="s">
        <v>198</v>
      </c>
      <c r="F215" t="s">
        <v>198</v>
      </c>
      <c r="G215" t="s">
        <v>197</v>
      </c>
      <c r="H215">
        <v>821</v>
      </c>
    </row>
    <row r="216" spans="1:8" x14ac:dyDescent="0.3">
      <c r="A216" t="s">
        <v>824</v>
      </c>
      <c r="B216" t="s">
        <v>198</v>
      </c>
      <c r="C216" t="s">
        <v>479</v>
      </c>
      <c r="D216">
        <v>2.2437099999999999E-3</v>
      </c>
      <c r="E216" t="s">
        <v>198</v>
      </c>
      <c r="F216" t="s">
        <v>198</v>
      </c>
      <c r="G216" t="s">
        <v>197</v>
      </c>
      <c r="H216">
        <v>164</v>
      </c>
    </row>
    <row r="217" spans="1:8" x14ac:dyDescent="0.3">
      <c r="A217" t="s">
        <v>827</v>
      </c>
      <c r="B217" t="s">
        <v>198</v>
      </c>
      <c r="C217" t="s">
        <v>479</v>
      </c>
      <c r="D217">
        <v>1.68963E-2</v>
      </c>
      <c r="E217" t="s">
        <v>198</v>
      </c>
      <c r="F217" t="s">
        <v>198</v>
      </c>
      <c r="G217" t="s">
        <v>197</v>
      </c>
      <c r="H217">
        <v>471</v>
      </c>
    </row>
    <row r="218" spans="1:8" x14ac:dyDescent="0.3">
      <c r="A218" t="s">
        <v>831</v>
      </c>
      <c r="B218" t="s">
        <v>198</v>
      </c>
      <c r="C218" t="s">
        <v>479</v>
      </c>
      <c r="D218">
        <v>2.0266500000000001E-3</v>
      </c>
      <c r="E218" t="s">
        <v>198</v>
      </c>
      <c r="F218" t="s">
        <v>198</v>
      </c>
      <c r="G218" t="s">
        <v>197</v>
      </c>
      <c r="H218">
        <v>164</v>
      </c>
    </row>
    <row r="219" spans="1:8" x14ac:dyDescent="0.3">
      <c r="A219" t="s">
        <v>835</v>
      </c>
      <c r="B219" t="s">
        <v>198</v>
      </c>
      <c r="C219" t="s">
        <v>479</v>
      </c>
      <c r="D219">
        <v>1.7242400000000001E-2</v>
      </c>
      <c r="E219" t="s">
        <v>198</v>
      </c>
      <c r="F219" t="s">
        <v>198</v>
      </c>
      <c r="G219" t="s">
        <v>197</v>
      </c>
      <c r="H219">
        <v>1905</v>
      </c>
    </row>
    <row r="220" spans="1:8" x14ac:dyDescent="0.3">
      <c r="A220" t="s">
        <v>839</v>
      </c>
      <c r="B220" t="s">
        <v>198</v>
      </c>
      <c r="C220" t="s">
        <v>479</v>
      </c>
      <c r="D220">
        <v>1.9244500000000001E-2</v>
      </c>
      <c r="E220" t="s">
        <v>198</v>
      </c>
      <c r="F220" t="s">
        <v>198</v>
      </c>
      <c r="G220" t="s">
        <v>197</v>
      </c>
      <c r="H220">
        <v>1470</v>
      </c>
    </row>
    <row r="221" spans="1:8" x14ac:dyDescent="0.3">
      <c r="A221" t="s">
        <v>843</v>
      </c>
      <c r="B221" t="s">
        <v>198</v>
      </c>
      <c r="C221" t="s">
        <v>479</v>
      </c>
      <c r="D221">
        <v>2.4912900000000002E-3</v>
      </c>
      <c r="E221" t="s">
        <v>198</v>
      </c>
      <c r="F221" t="s">
        <v>198</v>
      </c>
      <c r="G221" t="s">
        <v>197</v>
      </c>
      <c r="H221">
        <v>1909</v>
      </c>
    </row>
    <row r="222" spans="1:8" x14ac:dyDescent="0.3">
      <c r="A222" t="s">
        <v>845</v>
      </c>
      <c r="B222" t="s">
        <v>198</v>
      </c>
      <c r="C222" t="s">
        <v>479</v>
      </c>
      <c r="D222">
        <v>2.9975399999999999E-3</v>
      </c>
      <c r="E222" t="s">
        <v>198</v>
      </c>
      <c r="F222" t="s">
        <v>198</v>
      </c>
      <c r="G222" t="s">
        <v>197</v>
      </c>
      <c r="H222">
        <v>1910</v>
      </c>
    </row>
    <row r="223" spans="1:8" x14ac:dyDescent="0.3">
      <c r="A223" t="s">
        <v>847</v>
      </c>
      <c r="B223" t="s">
        <v>198</v>
      </c>
      <c r="C223" t="s">
        <v>479</v>
      </c>
      <c r="D223">
        <v>2.9975399999999999E-3</v>
      </c>
      <c r="E223" t="s">
        <v>198</v>
      </c>
      <c r="F223" t="s">
        <v>198</v>
      </c>
      <c r="G223" t="s">
        <v>197</v>
      </c>
      <c r="H223">
        <v>1910</v>
      </c>
    </row>
    <row r="224" spans="1:8" x14ac:dyDescent="0.3">
      <c r="A224" t="s">
        <v>849</v>
      </c>
      <c r="B224" t="s">
        <v>198</v>
      </c>
      <c r="C224" t="s">
        <v>479</v>
      </c>
      <c r="D224">
        <v>1.0325600000000001E-3</v>
      </c>
      <c r="E224" t="s">
        <v>198</v>
      </c>
      <c r="F224" t="s">
        <v>198</v>
      </c>
      <c r="G224" t="s">
        <v>197</v>
      </c>
      <c r="H224">
        <v>85</v>
      </c>
    </row>
    <row r="225" spans="1:8" x14ac:dyDescent="0.3">
      <c r="A225" t="s">
        <v>851</v>
      </c>
      <c r="B225" t="s">
        <v>198</v>
      </c>
      <c r="C225" t="s">
        <v>479</v>
      </c>
      <c r="D225">
        <v>2.9975399999999999E-3</v>
      </c>
      <c r="E225" t="s">
        <v>198</v>
      </c>
      <c r="F225" t="s">
        <v>198</v>
      </c>
      <c r="G225" t="s">
        <v>197</v>
      </c>
      <c r="H225">
        <v>1910</v>
      </c>
    </row>
    <row r="226" spans="1:8" x14ac:dyDescent="0.3">
      <c r="A226" t="s">
        <v>853</v>
      </c>
      <c r="B226" t="s">
        <v>198</v>
      </c>
      <c r="C226" t="s">
        <v>479</v>
      </c>
      <c r="D226">
        <v>1.66683E-2</v>
      </c>
      <c r="E226" t="s">
        <v>198</v>
      </c>
      <c r="F226" t="s">
        <v>198</v>
      </c>
      <c r="G226" t="s">
        <v>197</v>
      </c>
      <c r="H226">
        <v>1906</v>
      </c>
    </row>
    <row r="227" spans="1:8" x14ac:dyDescent="0.3">
      <c r="A227" t="s">
        <v>857</v>
      </c>
      <c r="B227" t="s">
        <v>198</v>
      </c>
      <c r="C227" t="s">
        <v>479</v>
      </c>
      <c r="D227">
        <v>6.0437199999999998E-3</v>
      </c>
      <c r="E227" t="s">
        <v>198</v>
      </c>
      <c r="F227" t="s">
        <v>198</v>
      </c>
      <c r="G227" t="s">
        <v>197</v>
      </c>
      <c r="H227">
        <v>1828</v>
      </c>
    </row>
    <row r="228" spans="1:8" x14ac:dyDescent="0.3">
      <c r="A228" t="s">
        <v>860</v>
      </c>
      <c r="B228" t="s">
        <v>198</v>
      </c>
      <c r="C228" t="s">
        <v>479</v>
      </c>
      <c r="D228">
        <v>6.0437199999999998E-3</v>
      </c>
      <c r="E228" t="s">
        <v>198</v>
      </c>
      <c r="F228" t="s">
        <v>198</v>
      </c>
      <c r="G228" t="s">
        <v>197</v>
      </c>
      <c r="H228">
        <v>1828</v>
      </c>
    </row>
    <row r="229" spans="1:8" x14ac:dyDescent="0.3">
      <c r="A229" t="s">
        <v>862</v>
      </c>
      <c r="B229">
        <v>2021</v>
      </c>
      <c r="C229" t="s">
        <v>864</v>
      </c>
      <c r="D229">
        <v>7.6329900000000001E-3</v>
      </c>
      <c r="E229" t="s">
        <v>867</v>
      </c>
      <c r="F229" t="s">
        <v>198</v>
      </c>
      <c r="G229" t="s">
        <v>869</v>
      </c>
      <c r="H229">
        <v>1136</v>
      </c>
    </row>
    <row r="230" spans="1:8" x14ac:dyDescent="0.3">
      <c r="A230" t="s">
        <v>870</v>
      </c>
      <c r="B230">
        <v>2021</v>
      </c>
      <c r="C230" t="s">
        <v>864</v>
      </c>
      <c r="D230">
        <v>5.7081900000000001E-3</v>
      </c>
      <c r="E230" t="s">
        <v>867</v>
      </c>
      <c r="F230" t="s">
        <v>198</v>
      </c>
      <c r="G230" t="s">
        <v>869</v>
      </c>
      <c r="H230">
        <v>109</v>
      </c>
    </row>
    <row r="231" spans="1:8" x14ac:dyDescent="0.3">
      <c r="A231" t="s">
        <v>873</v>
      </c>
      <c r="B231">
        <v>2021</v>
      </c>
      <c r="C231" t="s">
        <v>864</v>
      </c>
      <c r="D231">
        <v>5.7081900000000001E-3</v>
      </c>
      <c r="E231" t="s">
        <v>867</v>
      </c>
      <c r="F231" t="s">
        <v>198</v>
      </c>
      <c r="G231" t="s">
        <v>869</v>
      </c>
      <c r="H231">
        <v>109</v>
      </c>
    </row>
    <row r="232" spans="1:8" x14ac:dyDescent="0.3">
      <c r="A232" t="s">
        <v>875</v>
      </c>
      <c r="B232">
        <v>2021</v>
      </c>
      <c r="C232" t="s">
        <v>864</v>
      </c>
      <c r="D232">
        <v>5.7414700000000003E-3</v>
      </c>
      <c r="E232" t="s">
        <v>867</v>
      </c>
      <c r="F232" t="s">
        <v>198</v>
      </c>
      <c r="G232" t="s">
        <v>869</v>
      </c>
      <c r="H232">
        <v>109</v>
      </c>
    </row>
    <row r="233" spans="1:8" x14ac:dyDescent="0.3">
      <c r="A233" t="s">
        <v>878</v>
      </c>
      <c r="B233">
        <v>2021</v>
      </c>
      <c r="C233" t="s">
        <v>864</v>
      </c>
      <c r="D233">
        <v>7.1240599999999998E-3</v>
      </c>
      <c r="E233" t="s">
        <v>867</v>
      </c>
      <c r="F233" t="s">
        <v>198</v>
      </c>
      <c r="G233" t="s">
        <v>869</v>
      </c>
      <c r="H233">
        <v>132</v>
      </c>
    </row>
    <row r="234" spans="1:8" x14ac:dyDescent="0.3">
      <c r="A234" t="s">
        <v>882</v>
      </c>
      <c r="B234">
        <v>2016</v>
      </c>
      <c r="C234" t="s">
        <v>884</v>
      </c>
      <c r="D234">
        <v>3.7263000000000001E-3</v>
      </c>
      <c r="E234" t="s">
        <v>887</v>
      </c>
      <c r="F234" t="s">
        <v>198</v>
      </c>
      <c r="G234" t="s">
        <v>869</v>
      </c>
      <c r="H234">
        <v>10</v>
      </c>
    </row>
    <row r="235" spans="1:8" x14ac:dyDescent="0.3">
      <c r="A235" t="s">
        <v>888</v>
      </c>
      <c r="B235">
        <v>2019</v>
      </c>
      <c r="C235" t="s">
        <v>890</v>
      </c>
      <c r="D235">
        <v>4.64278E-3</v>
      </c>
      <c r="E235" t="s">
        <v>1441</v>
      </c>
      <c r="F235" t="s">
        <v>198</v>
      </c>
      <c r="G235" t="s">
        <v>894</v>
      </c>
      <c r="H235">
        <v>388</v>
      </c>
    </row>
    <row r="236" spans="1:8" x14ac:dyDescent="0.3">
      <c r="A236" t="s">
        <v>895</v>
      </c>
      <c r="B236">
        <v>2012</v>
      </c>
      <c r="C236" t="s">
        <v>897</v>
      </c>
      <c r="D236" s="1" t="s">
        <v>900</v>
      </c>
      <c r="F236" t="s">
        <v>198</v>
      </c>
      <c r="G236" t="s">
        <v>448</v>
      </c>
      <c r="H236">
        <v>2</v>
      </c>
    </row>
    <row r="237" spans="1:8" x14ac:dyDescent="0.3">
      <c r="A237" t="s">
        <v>901</v>
      </c>
      <c r="B237">
        <v>2014</v>
      </c>
      <c r="C237" t="s">
        <v>897</v>
      </c>
      <c r="D237">
        <v>1.7534899999999999E-2</v>
      </c>
      <c r="E237" t="s">
        <v>198</v>
      </c>
      <c r="F237" t="s">
        <v>198</v>
      </c>
      <c r="G237" t="s">
        <v>448</v>
      </c>
      <c r="H237">
        <v>243</v>
      </c>
    </row>
    <row r="238" spans="1:8" x14ac:dyDescent="0.3">
      <c r="A238" t="s">
        <v>905</v>
      </c>
      <c r="B238">
        <v>2019</v>
      </c>
      <c r="C238" t="s">
        <v>907</v>
      </c>
      <c r="D238">
        <v>9.0612399999999904E-4</v>
      </c>
      <c r="E238" t="s">
        <v>908</v>
      </c>
      <c r="F238" t="s">
        <v>909</v>
      </c>
      <c r="G238" t="s">
        <v>622</v>
      </c>
      <c r="H238">
        <v>25</v>
      </c>
    </row>
    <row r="239" spans="1:8" x14ac:dyDescent="0.3">
      <c r="A239" t="s">
        <v>910</v>
      </c>
      <c r="B239">
        <v>2019</v>
      </c>
      <c r="C239" t="s">
        <v>907</v>
      </c>
      <c r="D239">
        <v>5.8416700000000002E-3</v>
      </c>
      <c r="E239" t="s">
        <v>913</v>
      </c>
      <c r="F239" t="s">
        <v>909</v>
      </c>
      <c r="G239" t="s">
        <v>622</v>
      </c>
      <c r="H239">
        <v>602</v>
      </c>
    </row>
    <row r="240" spans="1:8" x14ac:dyDescent="0.3">
      <c r="A240" t="s">
        <v>914</v>
      </c>
      <c r="B240">
        <v>2019</v>
      </c>
      <c r="C240" t="s">
        <v>907</v>
      </c>
      <c r="D240">
        <v>9.3133399999999905E-4</v>
      </c>
      <c r="E240" t="s">
        <v>1298</v>
      </c>
      <c r="F240" t="s">
        <v>909</v>
      </c>
      <c r="G240" t="s">
        <v>622</v>
      </c>
      <c r="H240">
        <v>2</v>
      </c>
    </row>
    <row r="241" spans="1:8" x14ac:dyDescent="0.3">
      <c r="A241" t="s">
        <v>916</v>
      </c>
      <c r="B241">
        <v>2019</v>
      </c>
      <c r="C241" t="s">
        <v>907</v>
      </c>
      <c r="D241">
        <v>1.6007899999999999E-3</v>
      </c>
      <c r="E241" t="s">
        <v>1300</v>
      </c>
      <c r="F241" t="s">
        <v>909</v>
      </c>
      <c r="G241" t="s">
        <v>622</v>
      </c>
      <c r="H241">
        <v>2</v>
      </c>
    </row>
    <row r="242" spans="1:8" x14ac:dyDescent="0.3">
      <c r="A242" t="s">
        <v>919</v>
      </c>
      <c r="B242" s="15">
        <v>2017</v>
      </c>
      <c r="C242" t="s">
        <v>921</v>
      </c>
      <c r="D242">
        <v>9.8187100000000005E-4</v>
      </c>
      <c r="E242" t="s">
        <v>923</v>
      </c>
      <c r="F242" t="s">
        <v>924</v>
      </c>
      <c r="G242" t="s">
        <v>476</v>
      </c>
      <c r="H242">
        <v>2</v>
      </c>
    </row>
    <row r="243" spans="1:8" x14ac:dyDescent="0.3">
      <c r="A243" t="s">
        <v>925</v>
      </c>
      <c r="B243" s="15">
        <v>2017</v>
      </c>
      <c r="C243" t="s">
        <v>921</v>
      </c>
      <c r="D243">
        <v>1.1599900000000001E-3</v>
      </c>
      <c r="E243" t="s">
        <v>1298</v>
      </c>
      <c r="F243" t="s">
        <v>924</v>
      </c>
      <c r="G243" t="s">
        <v>476</v>
      </c>
      <c r="H243">
        <v>2</v>
      </c>
    </row>
    <row r="244" spans="1:8" x14ac:dyDescent="0.3">
      <c r="A244" t="s">
        <v>927</v>
      </c>
      <c r="B244" s="15">
        <v>2017</v>
      </c>
      <c r="C244" t="s">
        <v>921</v>
      </c>
      <c r="D244">
        <v>9.0612399999999904E-4</v>
      </c>
      <c r="E244" t="s">
        <v>1300</v>
      </c>
      <c r="F244" t="s">
        <v>924</v>
      </c>
      <c r="G244" t="s">
        <v>476</v>
      </c>
      <c r="H244">
        <v>1</v>
      </c>
    </row>
    <row r="245" spans="1:8" x14ac:dyDescent="0.3">
      <c r="A245" t="s">
        <v>929</v>
      </c>
      <c r="B245" s="15">
        <v>2017</v>
      </c>
      <c r="C245" t="s">
        <v>921</v>
      </c>
      <c r="D245">
        <v>8.0567300000000002E-4</v>
      </c>
      <c r="E245" t="s">
        <v>932</v>
      </c>
      <c r="F245" t="s">
        <v>924</v>
      </c>
      <c r="G245" t="s">
        <v>476</v>
      </c>
      <c r="H245">
        <v>1</v>
      </c>
    </row>
    <row r="246" spans="1:8" x14ac:dyDescent="0.3">
      <c r="A246" t="s">
        <v>933</v>
      </c>
      <c r="B246">
        <v>2018</v>
      </c>
      <c r="C246" t="s">
        <v>921</v>
      </c>
      <c r="D246">
        <v>1.1856E-3</v>
      </c>
      <c r="E246" t="s">
        <v>1298</v>
      </c>
      <c r="F246" t="s">
        <v>924</v>
      </c>
      <c r="G246" t="s">
        <v>476</v>
      </c>
      <c r="H246">
        <v>2</v>
      </c>
    </row>
    <row r="247" spans="1:8" x14ac:dyDescent="0.3">
      <c r="A247" t="s">
        <v>937</v>
      </c>
      <c r="B247">
        <v>2018</v>
      </c>
      <c r="C247" t="s">
        <v>921</v>
      </c>
      <c r="D247">
        <v>1.2112399999999999E-3</v>
      </c>
      <c r="E247" t="s">
        <v>932</v>
      </c>
      <c r="F247" t="s">
        <v>924</v>
      </c>
      <c r="G247" t="s">
        <v>476</v>
      </c>
      <c r="H247">
        <v>1</v>
      </c>
    </row>
    <row r="248" spans="1:8" x14ac:dyDescent="0.3">
      <c r="A248" t="s">
        <v>940</v>
      </c>
      <c r="B248">
        <v>2018</v>
      </c>
      <c r="C248" t="s">
        <v>921</v>
      </c>
      <c r="D248">
        <v>1.1856E-3</v>
      </c>
      <c r="E248" t="s">
        <v>1298</v>
      </c>
      <c r="F248" t="s">
        <v>924</v>
      </c>
      <c r="G248" t="s">
        <v>476</v>
      </c>
      <c r="H248">
        <v>1</v>
      </c>
    </row>
    <row r="249" spans="1:8" x14ac:dyDescent="0.3">
      <c r="A249" t="s">
        <v>942</v>
      </c>
      <c r="B249">
        <v>2018</v>
      </c>
      <c r="C249" t="s">
        <v>921</v>
      </c>
      <c r="D249">
        <v>1.1599900000000001E-3</v>
      </c>
      <c r="E249" t="s">
        <v>1298</v>
      </c>
      <c r="F249" t="s">
        <v>924</v>
      </c>
      <c r="G249" t="s">
        <v>476</v>
      </c>
      <c r="H249">
        <v>1</v>
      </c>
    </row>
    <row r="250" spans="1:8" x14ac:dyDescent="0.3">
      <c r="A250" t="s">
        <v>944</v>
      </c>
      <c r="B250">
        <v>2018</v>
      </c>
      <c r="C250" t="s">
        <v>921</v>
      </c>
      <c r="D250">
        <v>9.8187100000000005E-4</v>
      </c>
      <c r="E250" t="s">
        <v>1298</v>
      </c>
      <c r="F250" t="s">
        <v>924</v>
      </c>
      <c r="G250" t="s">
        <v>476</v>
      </c>
      <c r="H250">
        <v>1</v>
      </c>
    </row>
    <row r="251" spans="1:8" x14ac:dyDescent="0.3">
      <c r="A251" t="s">
        <v>946</v>
      </c>
      <c r="B251">
        <v>2018</v>
      </c>
      <c r="C251" t="s">
        <v>921</v>
      </c>
      <c r="D251">
        <v>2.40836E-3</v>
      </c>
      <c r="E251" t="s">
        <v>923</v>
      </c>
      <c r="F251" t="s">
        <v>924</v>
      </c>
      <c r="G251" t="s">
        <v>476</v>
      </c>
      <c r="H251">
        <v>113</v>
      </c>
    </row>
    <row r="252" spans="1:8" x14ac:dyDescent="0.3">
      <c r="A252" t="s">
        <v>950</v>
      </c>
      <c r="B252">
        <v>2018</v>
      </c>
      <c r="C252" t="s">
        <v>921</v>
      </c>
      <c r="D252">
        <v>6.5615399999999896E-4</v>
      </c>
      <c r="E252" t="s">
        <v>923</v>
      </c>
      <c r="F252" t="s">
        <v>924</v>
      </c>
      <c r="G252" t="s">
        <v>476</v>
      </c>
      <c r="H252">
        <v>2</v>
      </c>
    </row>
    <row r="253" spans="1:8" x14ac:dyDescent="0.3">
      <c r="A253" t="s">
        <v>952</v>
      </c>
      <c r="B253">
        <v>2018</v>
      </c>
      <c r="C253" t="s">
        <v>921</v>
      </c>
      <c r="D253">
        <v>2.4635999999999998E-3</v>
      </c>
      <c r="E253" t="s">
        <v>923</v>
      </c>
      <c r="F253" t="s">
        <v>924</v>
      </c>
      <c r="G253" t="s">
        <v>476</v>
      </c>
      <c r="H253">
        <v>113</v>
      </c>
    </row>
    <row r="254" spans="1:8" x14ac:dyDescent="0.3">
      <c r="A254" t="s">
        <v>955</v>
      </c>
      <c r="B254">
        <v>2018</v>
      </c>
      <c r="C254" t="s">
        <v>921</v>
      </c>
      <c r="D254">
        <v>1.5483199999999999E-3</v>
      </c>
      <c r="E254" t="s">
        <v>958</v>
      </c>
      <c r="F254" t="s">
        <v>924</v>
      </c>
      <c r="G254" t="s">
        <v>476</v>
      </c>
      <c r="H254" t="s">
        <v>198</v>
      </c>
    </row>
    <row r="255" spans="1:8" x14ac:dyDescent="0.3">
      <c r="A255" t="s">
        <v>959</v>
      </c>
      <c r="B255">
        <v>2018</v>
      </c>
      <c r="C255" t="s">
        <v>921</v>
      </c>
      <c r="D255">
        <v>1.1599900000000001E-3</v>
      </c>
      <c r="E255" t="s">
        <v>1298</v>
      </c>
      <c r="F255" t="s">
        <v>924</v>
      </c>
      <c r="G255" t="s">
        <v>476</v>
      </c>
      <c r="H255" t="s">
        <v>198</v>
      </c>
    </row>
    <row r="256" spans="1:8" x14ac:dyDescent="0.3">
      <c r="A256" t="s">
        <v>961</v>
      </c>
      <c r="B256">
        <v>2018</v>
      </c>
      <c r="C256" t="s">
        <v>921</v>
      </c>
      <c r="D256">
        <v>2.5468000000000001E-3</v>
      </c>
      <c r="E256" t="s">
        <v>1298</v>
      </c>
      <c r="F256" t="s">
        <v>924</v>
      </c>
      <c r="G256" t="s">
        <v>476</v>
      </c>
      <c r="H256">
        <v>570</v>
      </c>
    </row>
    <row r="257" spans="1:8" x14ac:dyDescent="0.3">
      <c r="A257" t="s">
        <v>965</v>
      </c>
      <c r="B257">
        <v>2018</v>
      </c>
      <c r="C257" t="s">
        <v>921</v>
      </c>
      <c r="D257">
        <v>7.8065800000000005E-4</v>
      </c>
      <c r="E257" t="s">
        <v>932</v>
      </c>
      <c r="F257" t="s">
        <v>924</v>
      </c>
      <c r="G257" t="s">
        <v>476</v>
      </c>
      <c r="H257">
        <v>1</v>
      </c>
    </row>
    <row r="258" spans="1:8" x14ac:dyDescent="0.3">
      <c r="A258" t="s">
        <v>968</v>
      </c>
      <c r="B258">
        <v>2018</v>
      </c>
      <c r="C258" t="s">
        <v>921</v>
      </c>
      <c r="D258">
        <v>1.23693E-3</v>
      </c>
      <c r="E258" t="s">
        <v>932</v>
      </c>
      <c r="F258" t="s">
        <v>924</v>
      </c>
      <c r="G258" t="s">
        <v>476</v>
      </c>
      <c r="H258">
        <v>1</v>
      </c>
    </row>
    <row r="259" spans="1:8" x14ac:dyDescent="0.3">
      <c r="A259" t="s">
        <v>970</v>
      </c>
      <c r="B259">
        <v>2018</v>
      </c>
      <c r="C259" t="s">
        <v>921</v>
      </c>
      <c r="D259">
        <v>1.46992E-3</v>
      </c>
      <c r="E259" t="s">
        <v>1298</v>
      </c>
      <c r="F259" t="s">
        <v>924</v>
      </c>
      <c r="G259" t="s">
        <v>476</v>
      </c>
      <c r="H259">
        <v>1</v>
      </c>
    </row>
    <row r="260" spans="1:8" x14ac:dyDescent="0.3">
      <c r="A260" t="s">
        <v>973</v>
      </c>
      <c r="B260">
        <v>2018</v>
      </c>
      <c r="C260" t="s">
        <v>921</v>
      </c>
      <c r="D260">
        <v>1.46992E-3</v>
      </c>
      <c r="E260" t="s">
        <v>1298</v>
      </c>
      <c r="F260" t="s">
        <v>924</v>
      </c>
      <c r="G260" t="s">
        <v>476</v>
      </c>
      <c r="H260">
        <v>1</v>
      </c>
    </row>
    <row r="261" spans="1:8" x14ac:dyDescent="0.3">
      <c r="A261" t="s">
        <v>975</v>
      </c>
      <c r="B261">
        <v>2018</v>
      </c>
      <c r="C261" t="s">
        <v>921</v>
      </c>
      <c r="D261">
        <v>1.1599900000000001E-3</v>
      </c>
      <c r="E261" t="s">
        <v>1298</v>
      </c>
      <c r="F261" t="s">
        <v>924</v>
      </c>
      <c r="G261" t="s">
        <v>476</v>
      </c>
      <c r="H261">
        <v>2</v>
      </c>
    </row>
    <row r="262" spans="1:8" x14ac:dyDescent="0.3">
      <c r="A262" t="s">
        <v>977</v>
      </c>
      <c r="B262">
        <v>2017</v>
      </c>
      <c r="C262" t="s">
        <v>921</v>
      </c>
      <c r="D262">
        <v>1.28842E-3</v>
      </c>
      <c r="E262" t="s">
        <v>923</v>
      </c>
      <c r="F262" t="s">
        <v>924</v>
      </c>
      <c r="G262" t="s">
        <v>476</v>
      </c>
      <c r="H262">
        <v>1</v>
      </c>
    </row>
    <row r="263" spans="1:8" x14ac:dyDescent="0.3">
      <c r="A263" t="s">
        <v>979</v>
      </c>
      <c r="B263">
        <v>2016</v>
      </c>
      <c r="C263" t="s">
        <v>921</v>
      </c>
      <c r="D263">
        <v>8.5582099999999999E-4</v>
      </c>
      <c r="E263" t="s">
        <v>923</v>
      </c>
      <c r="F263" t="s">
        <v>924</v>
      </c>
      <c r="G263" t="s">
        <v>476</v>
      </c>
      <c r="H263">
        <v>1</v>
      </c>
    </row>
    <row r="264" spans="1:8" x14ac:dyDescent="0.3">
      <c r="A264" t="s">
        <v>981</v>
      </c>
      <c r="B264">
        <v>2020</v>
      </c>
      <c r="C264" t="s">
        <v>983</v>
      </c>
      <c r="D264">
        <v>3.4604000000000002E-3</v>
      </c>
      <c r="E264" t="s">
        <v>1306</v>
      </c>
      <c r="F264" t="s">
        <v>924</v>
      </c>
      <c r="G264" t="s">
        <v>476</v>
      </c>
      <c r="H264">
        <v>2</v>
      </c>
    </row>
    <row r="265" spans="1:8" x14ac:dyDescent="0.3">
      <c r="A265" t="s">
        <v>988</v>
      </c>
      <c r="B265">
        <v>2020</v>
      </c>
      <c r="C265" t="s">
        <v>983</v>
      </c>
      <c r="D265">
        <v>3.9359299999999998E-3</v>
      </c>
      <c r="E265" t="s">
        <v>1307</v>
      </c>
      <c r="F265" t="s">
        <v>924</v>
      </c>
      <c r="G265" t="s">
        <v>476</v>
      </c>
      <c r="H265">
        <v>2</v>
      </c>
    </row>
    <row r="266" spans="1:8" x14ac:dyDescent="0.3">
      <c r="A266" t="s">
        <v>991</v>
      </c>
      <c r="B266">
        <v>2020</v>
      </c>
      <c r="C266" t="s">
        <v>983</v>
      </c>
      <c r="D266">
        <v>1.3400700000000001E-3</v>
      </c>
      <c r="E266" t="s">
        <v>1285</v>
      </c>
      <c r="F266" t="s">
        <v>924</v>
      </c>
      <c r="G266" t="s">
        <v>476</v>
      </c>
      <c r="H266">
        <v>2</v>
      </c>
    </row>
    <row r="267" spans="1:8" x14ac:dyDescent="0.3">
      <c r="A267" t="s">
        <v>995</v>
      </c>
      <c r="B267">
        <v>2020</v>
      </c>
      <c r="C267" t="s">
        <v>983</v>
      </c>
      <c r="D267">
        <v>4.5489700000000003E-3</v>
      </c>
      <c r="E267" t="s">
        <v>1298</v>
      </c>
      <c r="F267" t="s">
        <v>924</v>
      </c>
      <c r="G267" t="s">
        <v>476</v>
      </c>
      <c r="H267">
        <v>113</v>
      </c>
    </row>
    <row r="268" spans="1:8" x14ac:dyDescent="0.3">
      <c r="A268" t="s">
        <v>999</v>
      </c>
      <c r="B268">
        <v>2020</v>
      </c>
      <c r="C268" t="s">
        <v>983</v>
      </c>
      <c r="D268">
        <v>1.86568E-3</v>
      </c>
      <c r="E268" t="s">
        <v>1300</v>
      </c>
      <c r="F268" t="s">
        <v>924</v>
      </c>
      <c r="G268" t="s">
        <v>476</v>
      </c>
      <c r="H268">
        <v>85</v>
      </c>
    </row>
    <row r="269" spans="1:8" x14ac:dyDescent="0.3">
      <c r="A269" t="s">
        <v>1002</v>
      </c>
      <c r="B269">
        <v>2020</v>
      </c>
      <c r="C269" t="s">
        <v>983</v>
      </c>
      <c r="D269">
        <v>1.9728200000000001E-3</v>
      </c>
      <c r="E269" t="s">
        <v>1313</v>
      </c>
      <c r="F269" t="s">
        <v>924</v>
      </c>
      <c r="G269" t="s">
        <v>476</v>
      </c>
      <c r="H269">
        <v>85</v>
      </c>
    </row>
    <row r="270" spans="1:8" x14ac:dyDescent="0.3">
      <c r="A270" t="s">
        <v>1005</v>
      </c>
      <c r="B270">
        <v>2020</v>
      </c>
      <c r="C270" t="s">
        <v>983</v>
      </c>
      <c r="D270">
        <v>5.4113700000000004E-3</v>
      </c>
      <c r="E270" t="s">
        <v>1301</v>
      </c>
      <c r="F270" t="s">
        <v>924</v>
      </c>
      <c r="G270" t="s">
        <v>476</v>
      </c>
      <c r="H270" t="s">
        <v>198</v>
      </c>
    </row>
    <row r="271" spans="1:8" x14ac:dyDescent="0.3">
      <c r="A271" t="s">
        <v>1008</v>
      </c>
      <c r="B271">
        <v>2020</v>
      </c>
      <c r="C271" t="s">
        <v>983</v>
      </c>
      <c r="D271">
        <v>2.4635999999999998E-3</v>
      </c>
      <c r="E271" t="s">
        <v>1307</v>
      </c>
      <c r="F271" t="s">
        <v>924</v>
      </c>
      <c r="G271" t="s">
        <v>476</v>
      </c>
      <c r="H271">
        <v>19</v>
      </c>
    </row>
    <row r="272" spans="1:8" x14ac:dyDescent="0.3">
      <c r="A272" t="s">
        <v>1011</v>
      </c>
      <c r="B272">
        <v>2020</v>
      </c>
      <c r="C272" t="s">
        <v>983</v>
      </c>
      <c r="D272">
        <v>1.7592199999999999E-3</v>
      </c>
      <c r="E272" t="s">
        <v>1300</v>
      </c>
      <c r="F272" t="s">
        <v>924</v>
      </c>
      <c r="G272" t="s">
        <v>476</v>
      </c>
      <c r="H272">
        <v>2</v>
      </c>
    </row>
    <row r="273" spans="1:8" x14ac:dyDescent="0.3">
      <c r="A273" t="s">
        <v>1015</v>
      </c>
      <c r="B273">
        <v>2020</v>
      </c>
      <c r="C273" t="s">
        <v>983</v>
      </c>
      <c r="D273">
        <v>1.94597E-3</v>
      </c>
      <c r="E273" t="s">
        <v>1300</v>
      </c>
      <c r="F273" t="s">
        <v>924</v>
      </c>
      <c r="G273" t="s">
        <v>476</v>
      </c>
      <c r="H273">
        <v>19</v>
      </c>
    </row>
    <row r="274" spans="1:8" x14ac:dyDescent="0.3">
      <c r="A274" t="s">
        <v>1017</v>
      </c>
      <c r="B274">
        <v>2020</v>
      </c>
      <c r="C274" t="s">
        <v>983</v>
      </c>
      <c r="D274">
        <v>3.1696599999999999E-3</v>
      </c>
      <c r="E274" t="s">
        <v>1298</v>
      </c>
      <c r="F274" t="s">
        <v>924</v>
      </c>
      <c r="G274" t="s">
        <v>476</v>
      </c>
      <c r="H274">
        <v>2</v>
      </c>
    </row>
    <row r="275" spans="1:8" x14ac:dyDescent="0.3">
      <c r="A275" t="s">
        <v>1021</v>
      </c>
      <c r="B275">
        <v>2020</v>
      </c>
      <c r="C275" t="s">
        <v>983</v>
      </c>
      <c r="D275">
        <v>2.7144399999999998E-3</v>
      </c>
      <c r="E275" t="s">
        <v>1285</v>
      </c>
      <c r="F275" t="s">
        <v>924</v>
      </c>
      <c r="G275" t="s">
        <v>476</v>
      </c>
      <c r="H275">
        <v>2</v>
      </c>
    </row>
    <row r="276" spans="1:8" x14ac:dyDescent="0.3">
      <c r="A276" t="s">
        <v>1025</v>
      </c>
      <c r="B276">
        <v>2020</v>
      </c>
      <c r="C276" t="s">
        <v>983</v>
      </c>
      <c r="D276">
        <v>1.7857699999999999E-3</v>
      </c>
      <c r="E276" t="s">
        <v>1298</v>
      </c>
      <c r="F276" t="s">
        <v>924</v>
      </c>
      <c r="G276" t="s">
        <v>476</v>
      </c>
      <c r="H276">
        <v>85</v>
      </c>
    </row>
    <row r="277" spans="1:8" x14ac:dyDescent="0.3">
      <c r="A277" t="s">
        <v>1028</v>
      </c>
      <c r="B277">
        <v>2020</v>
      </c>
      <c r="C277" t="s">
        <v>983</v>
      </c>
      <c r="D277">
        <v>5.2161400000000002E-3</v>
      </c>
      <c r="E277" t="s">
        <v>1298</v>
      </c>
      <c r="F277" t="s">
        <v>924</v>
      </c>
      <c r="G277" t="s">
        <v>476</v>
      </c>
      <c r="H277">
        <v>164</v>
      </c>
    </row>
    <row r="278" spans="1:8" x14ac:dyDescent="0.3">
      <c r="A278" t="s">
        <v>1031</v>
      </c>
      <c r="B278">
        <v>2020</v>
      </c>
      <c r="C278" t="s">
        <v>983</v>
      </c>
      <c r="D278">
        <v>4.4556600000000002E-3</v>
      </c>
      <c r="E278" t="s">
        <v>1298</v>
      </c>
      <c r="F278" t="s">
        <v>924</v>
      </c>
      <c r="G278" t="s">
        <v>476</v>
      </c>
      <c r="H278">
        <v>570</v>
      </c>
    </row>
    <row r="279" spans="1:8" x14ac:dyDescent="0.3">
      <c r="A279" t="s">
        <v>1035</v>
      </c>
      <c r="B279">
        <v>2017</v>
      </c>
      <c r="C279" t="s">
        <v>1037</v>
      </c>
      <c r="D279">
        <v>2.1348299999999999E-3</v>
      </c>
      <c r="E279" t="s">
        <v>1290</v>
      </c>
      <c r="G279" t="s">
        <v>448</v>
      </c>
      <c r="H279">
        <v>107</v>
      </c>
    </row>
    <row r="280" spans="1:8" x14ac:dyDescent="0.3">
      <c r="A280" t="s">
        <v>1041</v>
      </c>
      <c r="B280">
        <v>2017</v>
      </c>
      <c r="C280" t="s">
        <v>1043</v>
      </c>
      <c r="D280">
        <v>4.8344600000000001E-4</v>
      </c>
      <c r="F280" t="s">
        <v>1046</v>
      </c>
      <c r="G280" t="s">
        <v>448</v>
      </c>
      <c r="H280">
        <v>1</v>
      </c>
    </row>
    <row r="281" spans="1:8" x14ac:dyDescent="0.3">
      <c r="A281" t="s">
        <v>1047</v>
      </c>
      <c r="B281">
        <v>2019</v>
      </c>
      <c r="C281" t="s">
        <v>1049</v>
      </c>
      <c r="D281">
        <v>1.31423E-3</v>
      </c>
      <c r="E281" t="s">
        <v>1318</v>
      </c>
      <c r="G281" t="s">
        <v>1051</v>
      </c>
      <c r="H281">
        <v>2</v>
      </c>
    </row>
    <row r="282" spans="1:8" x14ac:dyDescent="0.3">
      <c r="A282" t="s">
        <v>1052</v>
      </c>
      <c r="B282">
        <v>2019</v>
      </c>
      <c r="C282" t="s">
        <v>1049</v>
      </c>
      <c r="D282">
        <v>4.7686200000000003E-3</v>
      </c>
      <c r="E282" t="s">
        <v>1318</v>
      </c>
      <c r="G282" t="s">
        <v>1051</v>
      </c>
      <c r="H282">
        <v>54</v>
      </c>
    </row>
    <row r="283" spans="1:8" x14ac:dyDescent="0.3">
      <c r="A283" t="s">
        <v>1056</v>
      </c>
      <c r="B283">
        <v>2019</v>
      </c>
      <c r="C283" t="s">
        <v>1049</v>
      </c>
      <c r="D283">
        <v>3.40187E-3</v>
      </c>
      <c r="E283" t="s">
        <v>1318</v>
      </c>
      <c r="G283" t="s">
        <v>1051</v>
      </c>
      <c r="H283">
        <v>1</v>
      </c>
    </row>
    <row r="284" spans="1:8" x14ac:dyDescent="0.3">
      <c r="A284" t="s">
        <v>1059</v>
      </c>
      <c r="B284">
        <v>2019</v>
      </c>
      <c r="C284" t="s">
        <v>1049</v>
      </c>
      <c r="D284">
        <v>3.3144200000000002E-3</v>
      </c>
      <c r="E284" t="s">
        <v>1318</v>
      </c>
      <c r="G284" t="s">
        <v>1051</v>
      </c>
      <c r="H284">
        <v>1</v>
      </c>
    </row>
    <row r="285" spans="1:8" x14ac:dyDescent="0.3">
      <c r="A285" t="s">
        <v>1062</v>
      </c>
      <c r="B285">
        <v>2017</v>
      </c>
      <c r="C285" t="s">
        <v>1064</v>
      </c>
      <c r="D285">
        <v>4.3443900000000001E-4</v>
      </c>
      <c r="E285" t="s">
        <v>1290</v>
      </c>
      <c r="F285" t="s">
        <v>1046</v>
      </c>
      <c r="G285" t="s">
        <v>448</v>
      </c>
      <c r="H285">
        <v>1</v>
      </c>
    </row>
    <row r="286" spans="1:8" x14ac:dyDescent="0.3">
      <c r="A286" t="s">
        <v>1067</v>
      </c>
      <c r="B286">
        <v>1999</v>
      </c>
      <c r="C286" t="s">
        <v>1069</v>
      </c>
      <c r="D286">
        <v>2.0266500000000001E-3</v>
      </c>
      <c r="E286" t="s">
        <v>1319</v>
      </c>
      <c r="F286" t="s">
        <v>198</v>
      </c>
      <c r="G286" t="s">
        <v>448</v>
      </c>
      <c r="H286">
        <v>1</v>
      </c>
    </row>
    <row r="287" spans="1:8" x14ac:dyDescent="0.3">
      <c r="A287" t="s">
        <v>1071</v>
      </c>
      <c r="B287">
        <v>2021</v>
      </c>
      <c r="C287" t="s">
        <v>1073</v>
      </c>
      <c r="D287">
        <v>1.28842E-3</v>
      </c>
      <c r="E287" t="s">
        <v>1321</v>
      </c>
      <c r="F287" t="s">
        <v>198</v>
      </c>
      <c r="G287" t="s">
        <v>1076</v>
      </c>
      <c r="H287">
        <v>2</v>
      </c>
    </row>
    <row r="288" spans="1:8" x14ac:dyDescent="0.3">
      <c r="A288" t="s">
        <v>1077</v>
      </c>
      <c r="B288">
        <v>2021</v>
      </c>
      <c r="C288" t="s">
        <v>1073</v>
      </c>
      <c r="D288">
        <v>1.28842E-3</v>
      </c>
      <c r="E288" t="s">
        <v>1324</v>
      </c>
      <c r="F288" t="s">
        <v>198</v>
      </c>
      <c r="G288" t="s">
        <v>1076</v>
      </c>
      <c r="H288">
        <v>2</v>
      </c>
    </row>
    <row r="289" spans="1:8" x14ac:dyDescent="0.3">
      <c r="A289" t="s">
        <v>1079</v>
      </c>
      <c r="B289">
        <v>2021</v>
      </c>
      <c r="C289" t="s">
        <v>1073</v>
      </c>
      <c r="D289">
        <v>1.2626499999999999E-3</v>
      </c>
      <c r="E289" t="s">
        <v>1325</v>
      </c>
      <c r="F289" t="s">
        <v>198</v>
      </c>
      <c r="G289" t="s">
        <v>1076</v>
      </c>
      <c r="H289">
        <v>2</v>
      </c>
    </row>
    <row r="290" spans="1:8" x14ac:dyDescent="0.3">
      <c r="A290" t="s">
        <v>1081</v>
      </c>
      <c r="B290">
        <v>2021</v>
      </c>
      <c r="C290" t="s">
        <v>1073</v>
      </c>
      <c r="D290">
        <v>1.41786E-3</v>
      </c>
      <c r="E290" t="s">
        <v>1324</v>
      </c>
      <c r="F290" t="s">
        <v>198</v>
      </c>
      <c r="G290" t="s">
        <v>1076</v>
      </c>
      <c r="H290">
        <v>2</v>
      </c>
    </row>
    <row r="291" spans="1:8" x14ac:dyDescent="0.3">
      <c r="A291" t="s">
        <v>1084</v>
      </c>
      <c r="B291">
        <v>2021</v>
      </c>
      <c r="C291" t="s">
        <v>1073</v>
      </c>
      <c r="D291">
        <v>1.4438700000000001E-3</v>
      </c>
      <c r="E291" t="s">
        <v>1326</v>
      </c>
      <c r="F291" t="s">
        <v>198</v>
      </c>
      <c r="G291" t="s">
        <v>1076</v>
      </c>
      <c r="H291">
        <v>2</v>
      </c>
    </row>
    <row r="292" spans="1:8" x14ac:dyDescent="0.3">
      <c r="A292" t="s">
        <v>1087</v>
      </c>
      <c r="B292">
        <v>2021</v>
      </c>
      <c r="C292" t="s">
        <v>1073</v>
      </c>
      <c r="D292">
        <v>1.1088999999999999E-3</v>
      </c>
      <c r="E292" t="s">
        <v>1327</v>
      </c>
      <c r="F292" t="s">
        <v>198</v>
      </c>
      <c r="G292" t="s">
        <v>1076</v>
      </c>
      <c r="H292">
        <v>2</v>
      </c>
    </row>
    <row r="293" spans="1:8" x14ac:dyDescent="0.3">
      <c r="A293" t="s">
        <v>1090</v>
      </c>
      <c r="B293">
        <v>2021</v>
      </c>
      <c r="C293" t="s">
        <v>1073</v>
      </c>
      <c r="D293">
        <v>1.28842E-3</v>
      </c>
      <c r="E293" t="s">
        <v>1328</v>
      </c>
      <c r="F293" t="s">
        <v>198</v>
      </c>
      <c r="G293" t="s">
        <v>1076</v>
      </c>
      <c r="H293">
        <v>2</v>
      </c>
    </row>
    <row r="294" spans="1:8" x14ac:dyDescent="0.3">
      <c r="A294" t="s">
        <v>1092</v>
      </c>
      <c r="B294">
        <v>2021</v>
      </c>
      <c r="C294" t="s">
        <v>1073</v>
      </c>
      <c r="D294">
        <v>1.23693E-3</v>
      </c>
      <c r="E294" t="s">
        <v>1325</v>
      </c>
      <c r="F294" t="s">
        <v>198</v>
      </c>
      <c r="G294" t="s">
        <v>1076</v>
      </c>
      <c r="H294">
        <v>2</v>
      </c>
    </row>
    <row r="295" spans="1:8" x14ac:dyDescent="0.3">
      <c r="A295" t="s">
        <v>1094</v>
      </c>
      <c r="B295">
        <v>2021</v>
      </c>
      <c r="C295" t="s">
        <v>1073</v>
      </c>
      <c r="D295">
        <v>1.1088999999999999E-3</v>
      </c>
      <c r="E295" t="s">
        <v>1325</v>
      </c>
      <c r="F295" t="s">
        <v>198</v>
      </c>
      <c r="G295" t="s">
        <v>1076</v>
      </c>
      <c r="H295">
        <v>2</v>
      </c>
    </row>
    <row r="296" spans="1:8" x14ac:dyDescent="0.3">
      <c r="A296" t="s">
        <v>1096</v>
      </c>
      <c r="B296">
        <v>2021</v>
      </c>
      <c r="C296" t="s">
        <v>1073</v>
      </c>
      <c r="D296">
        <v>8.3072799999999998E-4</v>
      </c>
      <c r="E296" t="s">
        <v>1326</v>
      </c>
      <c r="F296" t="s">
        <v>198</v>
      </c>
      <c r="G296" t="s">
        <v>1076</v>
      </c>
      <c r="H296">
        <v>85</v>
      </c>
    </row>
    <row r="297" spans="1:8" x14ac:dyDescent="0.3">
      <c r="A297" t="s">
        <v>1099</v>
      </c>
      <c r="B297">
        <v>2021</v>
      </c>
      <c r="C297" t="s">
        <v>1073</v>
      </c>
      <c r="D297">
        <v>1.1344300000000001E-3</v>
      </c>
      <c r="E297" t="s">
        <v>1325</v>
      </c>
      <c r="F297" t="s">
        <v>198</v>
      </c>
      <c r="G297" t="s">
        <v>1076</v>
      </c>
      <c r="H297">
        <v>2</v>
      </c>
    </row>
    <row r="298" spans="1:8" x14ac:dyDescent="0.3">
      <c r="A298" t="s">
        <v>1102</v>
      </c>
      <c r="B298">
        <v>2021</v>
      </c>
      <c r="C298" t="s">
        <v>1073</v>
      </c>
      <c r="D298">
        <v>1.1088999999999999E-3</v>
      </c>
      <c r="E298" t="s">
        <v>1325</v>
      </c>
      <c r="F298" t="s">
        <v>198</v>
      </c>
      <c r="G298" t="s">
        <v>1076</v>
      </c>
      <c r="H298">
        <v>2</v>
      </c>
    </row>
    <row r="299" spans="1:8" x14ac:dyDescent="0.3">
      <c r="A299" t="s">
        <v>1104</v>
      </c>
      <c r="B299">
        <v>2021</v>
      </c>
      <c r="C299" t="s">
        <v>1073</v>
      </c>
      <c r="D299">
        <v>1.3400700000000001E-3</v>
      </c>
      <c r="E299" t="s">
        <v>1329</v>
      </c>
      <c r="F299" t="s">
        <v>198</v>
      </c>
      <c r="G299" t="s">
        <v>1076</v>
      </c>
      <c r="H299">
        <v>2</v>
      </c>
    </row>
    <row r="300" spans="1:8" x14ac:dyDescent="0.3">
      <c r="A300" t="s">
        <v>1106</v>
      </c>
      <c r="B300">
        <v>2021</v>
      </c>
      <c r="C300" t="s">
        <v>1073</v>
      </c>
      <c r="D300">
        <v>1.28842E-3</v>
      </c>
      <c r="E300" t="s">
        <v>1325</v>
      </c>
      <c r="F300" t="s">
        <v>198</v>
      </c>
      <c r="G300" t="s">
        <v>1076</v>
      </c>
      <c r="H300">
        <v>2</v>
      </c>
    </row>
    <row r="301" spans="1:8" x14ac:dyDescent="0.3">
      <c r="A301" t="s">
        <v>1108</v>
      </c>
      <c r="B301">
        <v>2021</v>
      </c>
      <c r="C301" t="s">
        <v>1073</v>
      </c>
      <c r="D301">
        <v>1.57453E-3</v>
      </c>
      <c r="E301" t="s">
        <v>1325</v>
      </c>
      <c r="F301" t="s">
        <v>198</v>
      </c>
      <c r="G301" t="s">
        <v>1076</v>
      </c>
      <c r="H301">
        <v>2</v>
      </c>
    </row>
    <row r="302" spans="1:8" x14ac:dyDescent="0.3">
      <c r="A302" t="s">
        <v>1110</v>
      </c>
      <c r="B302">
        <v>2021</v>
      </c>
      <c r="C302" t="s">
        <v>1073</v>
      </c>
      <c r="D302">
        <v>1.1088999999999999E-3</v>
      </c>
      <c r="E302" t="s">
        <v>1329</v>
      </c>
      <c r="F302" t="s">
        <v>198</v>
      </c>
      <c r="G302" t="s">
        <v>1076</v>
      </c>
      <c r="H302">
        <v>2</v>
      </c>
    </row>
    <row r="303" spans="1:8" x14ac:dyDescent="0.3">
      <c r="A303" t="s">
        <v>1112</v>
      </c>
      <c r="B303">
        <v>2021</v>
      </c>
      <c r="C303" t="s">
        <v>1073</v>
      </c>
      <c r="D303">
        <v>1.1088999999999999E-3</v>
      </c>
      <c r="E303" t="s">
        <v>1327</v>
      </c>
      <c r="F303" t="s">
        <v>198</v>
      </c>
      <c r="G303" t="s">
        <v>1076</v>
      </c>
      <c r="H303">
        <v>2</v>
      </c>
    </row>
    <row r="304" spans="1:8" x14ac:dyDescent="0.3">
      <c r="A304" t="s">
        <v>1114</v>
      </c>
      <c r="B304">
        <v>2021</v>
      </c>
      <c r="C304" t="s">
        <v>1073</v>
      </c>
      <c r="D304">
        <v>1.1088999999999999E-3</v>
      </c>
      <c r="E304" t="s">
        <v>1330</v>
      </c>
      <c r="F304" t="s">
        <v>198</v>
      </c>
      <c r="G304" t="s">
        <v>1076</v>
      </c>
      <c r="H304">
        <v>2</v>
      </c>
    </row>
    <row r="305" spans="1:8" x14ac:dyDescent="0.3">
      <c r="A305" t="s">
        <v>1116</v>
      </c>
      <c r="B305">
        <v>2021</v>
      </c>
      <c r="C305" t="s">
        <v>1073</v>
      </c>
      <c r="D305">
        <v>1.1088999999999999E-3</v>
      </c>
      <c r="E305" t="s">
        <v>1331</v>
      </c>
      <c r="F305" t="s">
        <v>198</v>
      </c>
      <c r="G305" t="s">
        <v>1076</v>
      </c>
      <c r="H305">
        <v>2</v>
      </c>
    </row>
    <row r="306" spans="1:8" x14ac:dyDescent="0.3">
      <c r="A306" t="s">
        <v>1118</v>
      </c>
      <c r="B306">
        <v>2021</v>
      </c>
      <c r="C306" t="s">
        <v>1073</v>
      </c>
      <c r="D306">
        <v>2.20623E-2</v>
      </c>
      <c r="E306" t="s">
        <v>1325</v>
      </c>
      <c r="F306" t="s">
        <v>198</v>
      </c>
      <c r="G306" t="s">
        <v>1076</v>
      </c>
      <c r="H306">
        <v>2</v>
      </c>
    </row>
    <row r="307" spans="1:8" x14ac:dyDescent="0.3">
      <c r="A307" t="s">
        <v>1121</v>
      </c>
      <c r="B307">
        <v>2021</v>
      </c>
      <c r="C307" t="s">
        <v>1073</v>
      </c>
      <c r="D307">
        <v>3.36872E-4</v>
      </c>
      <c r="E307" t="s">
        <v>1325</v>
      </c>
      <c r="F307" t="s">
        <v>198</v>
      </c>
      <c r="G307" t="s">
        <v>1076</v>
      </c>
      <c r="H307">
        <v>85</v>
      </c>
    </row>
    <row r="308" spans="1:8" x14ac:dyDescent="0.3">
      <c r="A308" t="s">
        <v>1124</v>
      </c>
      <c r="B308">
        <v>2021</v>
      </c>
      <c r="C308" t="s">
        <v>1073</v>
      </c>
      <c r="D308">
        <v>1.46992E-3</v>
      </c>
      <c r="E308" t="s">
        <v>1325</v>
      </c>
      <c r="F308" t="s">
        <v>198</v>
      </c>
      <c r="G308" t="s">
        <v>1076</v>
      </c>
      <c r="H308">
        <v>2</v>
      </c>
    </row>
    <row r="309" spans="1:8" x14ac:dyDescent="0.3">
      <c r="A309" t="s">
        <v>1126</v>
      </c>
      <c r="B309">
        <v>2021</v>
      </c>
      <c r="C309" t="s">
        <v>1073</v>
      </c>
      <c r="D309">
        <v>1.1088999999999999E-3</v>
      </c>
      <c r="E309" t="s">
        <v>1325</v>
      </c>
      <c r="F309" t="s">
        <v>198</v>
      </c>
      <c r="G309" t="s">
        <v>1076</v>
      </c>
      <c r="H309">
        <v>2</v>
      </c>
    </row>
    <row r="310" spans="1:8" x14ac:dyDescent="0.3">
      <c r="A310" t="s">
        <v>1128</v>
      </c>
      <c r="B310">
        <v>2021</v>
      </c>
      <c r="C310" t="s">
        <v>1073</v>
      </c>
      <c r="D310">
        <v>1.1088999999999999E-3</v>
      </c>
      <c r="E310" t="s">
        <v>1325</v>
      </c>
      <c r="F310" t="s">
        <v>198</v>
      </c>
      <c r="G310" t="s">
        <v>1076</v>
      </c>
      <c r="H310">
        <v>2</v>
      </c>
    </row>
    <row r="311" spans="1:8" x14ac:dyDescent="0.3">
      <c r="A311" t="s">
        <v>1130</v>
      </c>
      <c r="B311">
        <v>2021</v>
      </c>
      <c r="C311" t="s">
        <v>1073</v>
      </c>
      <c r="D311">
        <v>1.36596E-3</v>
      </c>
      <c r="E311" t="s">
        <v>1325</v>
      </c>
      <c r="F311" t="s">
        <v>198</v>
      </c>
      <c r="G311" t="s">
        <v>1076</v>
      </c>
      <c r="H311">
        <v>2</v>
      </c>
    </row>
    <row r="312" spans="1:8" x14ac:dyDescent="0.3">
      <c r="A312" t="s">
        <v>1132</v>
      </c>
      <c r="B312">
        <v>2021</v>
      </c>
      <c r="C312" t="s">
        <v>1073</v>
      </c>
      <c r="D312">
        <v>1.1088999999999999E-3</v>
      </c>
      <c r="E312" t="s">
        <v>1324</v>
      </c>
      <c r="F312" t="s">
        <v>198</v>
      </c>
      <c r="G312" t="s">
        <v>1076</v>
      </c>
      <c r="H312">
        <v>2</v>
      </c>
    </row>
    <row r="313" spans="1:8" x14ac:dyDescent="0.3">
      <c r="A313" t="s">
        <v>1134</v>
      </c>
      <c r="B313">
        <v>2021</v>
      </c>
      <c r="C313" t="s">
        <v>1073</v>
      </c>
      <c r="D313">
        <v>1.1088999999999999E-3</v>
      </c>
      <c r="E313" t="s">
        <v>1325</v>
      </c>
      <c r="F313" t="s">
        <v>198</v>
      </c>
      <c r="G313" t="s">
        <v>1076</v>
      </c>
      <c r="H313">
        <v>2</v>
      </c>
    </row>
    <row r="314" spans="1:8" x14ac:dyDescent="0.3">
      <c r="A314" t="s">
        <v>1136</v>
      </c>
      <c r="B314">
        <v>2021</v>
      </c>
      <c r="C314" t="s">
        <v>1073</v>
      </c>
      <c r="D314">
        <v>1.1088999999999999E-3</v>
      </c>
      <c r="E314" t="s">
        <v>1332</v>
      </c>
      <c r="F314" t="s">
        <v>198</v>
      </c>
      <c r="G314" t="s">
        <v>1076</v>
      </c>
      <c r="H314">
        <v>2</v>
      </c>
    </row>
    <row r="315" spans="1:8" x14ac:dyDescent="0.3">
      <c r="A315" t="s">
        <v>1138</v>
      </c>
      <c r="B315">
        <v>2021</v>
      </c>
      <c r="C315" t="s">
        <v>1073</v>
      </c>
      <c r="D315">
        <v>1.3400700000000001E-3</v>
      </c>
      <c r="E315" t="s">
        <v>1331</v>
      </c>
      <c r="F315" t="s">
        <v>198</v>
      </c>
      <c r="G315" t="s">
        <v>1076</v>
      </c>
      <c r="H315">
        <v>2</v>
      </c>
    </row>
    <row r="316" spans="1:8" x14ac:dyDescent="0.3">
      <c r="A316" t="s">
        <v>1140</v>
      </c>
      <c r="B316">
        <v>2021</v>
      </c>
      <c r="C316" t="s">
        <v>1073</v>
      </c>
      <c r="D316">
        <v>1.1088999999999999E-3</v>
      </c>
      <c r="E316" t="s">
        <v>1328</v>
      </c>
      <c r="F316" t="s">
        <v>198</v>
      </c>
      <c r="G316" t="s">
        <v>1076</v>
      </c>
      <c r="H316">
        <v>2</v>
      </c>
    </row>
    <row r="317" spans="1:8" x14ac:dyDescent="0.3">
      <c r="A317" t="s">
        <v>1142</v>
      </c>
      <c r="B317">
        <v>2021</v>
      </c>
      <c r="C317" t="s">
        <v>1073</v>
      </c>
      <c r="D317">
        <v>1.1088999999999999E-3</v>
      </c>
      <c r="E317" t="s">
        <v>1328</v>
      </c>
      <c r="F317" t="s">
        <v>198</v>
      </c>
      <c r="G317" t="s">
        <v>1076</v>
      </c>
      <c r="H317">
        <v>2</v>
      </c>
    </row>
    <row r="318" spans="1:8" x14ac:dyDescent="0.3">
      <c r="A318" t="s">
        <v>1144</v>
      </c>
      <c r="B318">
        <v>2021</v>
      </c>
      <c r="C318" t="s">
        <v>1073</v>
      </c>
      <c r="D318">
        <v>4.8344600000000001E-4</v>
      </c>
      <c r="E318" t="s">
        <v>1333</v>
      </c>
      <c r="F318" t="s">
        <v>198</v>
      </c>
      <c r="G318" t="s">
        <v>1076</v>
      </c>
      <c r="H318">
        <v>85</v>
      </c>
    </row>
    <row r="319" spans="1:8" x14ac:dyDescent="0.3">
      <c r="A319" t="s">
        <v>1146</v>
      </c>
      <c r="B319">
        <v>2021</v>
      </c>
      <c r="C319" t="s">
        <v>1073</v>
      </c>
      <c r="D319">
        <v>1.1088999999999999E-3</v>
      </c>
      <c r="E319" t="s">
        <v>1328</v>
      </c>
      <c r="F319" t="s">
        <v>198</v>
      </c>
      <c r="G319" t="s">
        <v>1076</v>
      </c>
      <c r="H319">
        <v>2</v>
      </c>
    </row>
    <row r="320" spans="1:8" x14ac:dyDescent="0.3">
      <c r="A320" t="s">
        <v>1148</v>
      </c>
      <c r="B320">
        <v>2021</v>
      </c>
      <c r="C320" t="s">
        <v>1073</v>
      </c>
      <c r="D320">
        <v>1.36596E-3</v>
      </c>
      <c r="E320" t="s">
        <v>1329</v>
      </c>
      <c r="F320" t="s">
        <v>198</v>
      </c>
      <c r="G320" t="s">
        <v>1076</v>
      </c>
      <c r="H320">
        <v>2</v>
      </c>
    </row>
    <row r="321" spans="1:8" x14ac:dyDescent="0.3">
      <c r="A321" t="s">
        <v>1150</v>
      </c>
      <c r="B321">
        <v>2021</v>
      </c>
      <c r="C321" t="s">
        <v>1073</v>
      </c>
      <c r="D321">
        <v>1.1088999999999999E-3</v>
      </c>
      <c r="E321" t="s">
        <v>1328</v>
      </c>
      <c r="F321" t="s">
        <v>198</v>
      </c>
      <c r="G321" t="s">
        <v>1076</v>
      </c>
      <c r="H321">
        <v>2</v>
      </c>
    </row>
    <row r="322" spans="1:8" x14ac:dyDescent="0.3">
      <c r="A322" t="s">
        <v>1152</v>
      </c>
      <c r="B322">
        <v>2021</v>
      </c>
      <c r="C322" t="s">
        <v>1073</v>
      </c>
      <c r="D322">
        <v>1.46992E-3</v>
      </c>
      <c r="E322" t="s">
        <v>1334</v>
      </c>
      <c r="F322" t="s">
        <v>198</v>
      </c>
      <c r="G322" t="s">
        <v>1076</v>
      </c>
      <c r="H322">
        <v>2</v>
      </c>
    </row>
    <row r="323" spans="1:8" x14ac:dyDescent="0.3">
      <c r="A323" t="s">
        <v>1154</v>
      </c>
      <c r="B323">
        <v>2021</v>
      </c>
      <c r="C323" t="s">
        <v>1073</v>
      </c>
      <c r="D323">
        <v>1.0834200000000001E-3</v>
      </c>
      <c r="E323" t="s">
        <v>1335</v>
      </c>
      <c r="F323" t="s">
        <v>198</v>
      </c>
      <c r="G323" t="s">
        <v>1076</v>
      </c>
      <c r="H323">
        <v>2</v>
      </c>
    </row>
    <row r="324" spans="1:8" x14ac:dyDescent="0.3">
      <c r="A324" t="s">
        <v>1156</v>
      </c>
      <c r="B324">
        <v>2021</v>
      </c>
      <c r="C324" t="s">
        <v>1073</v>
      </c>
      <c r="D324">
        <v>1.2112399999999999E-3</v>
      </c>
      <c r="E324" t="s">
        <v>1325</v>
      </c>
      <c r="F324" t="s">
        <v>198</v>
      </c>
      <c r="G324" t="s">
        <v>1076</v>
      </c>
      <c r="H324">
        <v>2</v>
      </c>
    </row>
    <row r="325" spans="1:8" x14ac:dyDescent="0.3">
      <c r="A325" t="s">
        <v>1159</v>
      </c>
      <c r="B325">
        <v>2021</v>
      </c>
      <c r="C325" t="s">
        <v>1073</v>
      </c>
      <c r="D325">
        <v>1.1088999999999999E-3</v>
      </c>
      <c r="E325" t="s">
        <v>1336</v>
      </c>
      <c r="F325" t="s">
        <v>198</v>
      </c>
      <c r="G325" t="s">
        <v>1076</v>
      </c>
      <c r="H325">
        <v>2</v>
      </c>
    </row>
    <row r="326" spans="1:8" x14ac:dyDescent="0.3">
      <c r="A326" t="s">
        <v>1161</v>
      </c>
      <c r="B326">
        <v>2021</v>
      </c>
      <c r="C326" t="s">
        <v>1073</v>
      </c>
      <c r="D326">
        <v>1.94597E-3</v>
      </c>
      <c r="E326" t="s">
        <v>1329</v>
      </c>
      <c r="F326" t="s">
        <v>198</v>
      </c>
      <c r="G326" t="s">
        <v>1076</v>
      </c>
      <c r="H326">
        <v>2</v>
      </c>
    </row>
    <row r="327" spans="1:8" x14ac:dyDescent="0.3">
      <c r="A327" t="s">
        <v>1163</v>
      </c>
      <c r="B327">
        <v>2021</v>
      </c>
      <c r="C327" t="s">
        <v>1073</v>
      </c>
      <c r="D327">
        <v>1.23693E-3</v>
      </c>
      <c r="E327" t="s">
        <v>1324</v>
      </c>
      <c r="F327" t="s">
        <v>198</v>
      </c>
      <c r="G327" t="s">
        <v>1076</v>
      </c>
      <c r="H327">
        <v>2</v>
      </c>
    </row>
    <row r="328" spans="1:8" x14ac:dyDescent="0.3">
      <c r="A328" t="s">
        <v>1165</v>
      </c>
      <c r="B328">
        <v>2021</v>
      </c>
      <c r="C328" t="s">
        <v>1073</v>
      </c>
      <c r="D328">
        <v>1.3400700000000001E-3</v>
      </c>
      <c r="E328" t="s">
        <v>1325</v>
      </c>
      <c r="F328" t="s">
        <v>198</v>
      </c>
      <c r="G328" t="s">
        <v>1076</v>
      </c>
      <c r="H328">
        <v>2</v>
      </c>
    </row>
    <row r="329" spans="1:8" x14ac:dyDescent="0.3">
      <c r="A329" t="s">
        <v>1167</v>
      </c>
      <c r="B329">
        <v>2021</v>
      </c>
      <c r="C329" t="s">
        <v>1073</v>
      </c>
      <c r="D329">
        <v>6.5615400000000005E-4</v>
      </c>
      <c r="E329" t="s">
        <v>1337</v>
      </c>
      <c r="F329" t="s">
        <v>198</v>
      </c>
      <c r="G329" t="s">
        <v>1076</v>
      </c>
      <c r="H329">
        <v>85</v>
      </c>
    </row>
    <row r="330" spans="1:8" x14ac:dyDescent="0.3">
      <c r="A330" t="s">
        <v>1169</v>
      </c>
      <c r="B330">
        <v>2021</v>
      </c>
      <c r="C330" t="s">
        <v>1073</v>
      </c>
      <c r="D330">
        <v>1.7592199999999999E-3</v>
      </c>
      <c r="E330" t="s">
        <v>1326</v>
      </c>
      <c r="F330" t="s">
        <v>198</v>
      </c>
      <c r="G330" t="s">
        <v>1076</v>
      </c>
      <c r="H330">
        <v>2</v>
      </c>
    </row>
    <row r="331" spans="1:8" x14ac:dyDescent="0.3">
      <c r="A331" t="s">
        <v>1171</v>
      </c>
      <c r="B331">
        <v>2021</v>
      </c>
      <c r="C331" t="s">
        <v>1073</v>
      </c>
      <c r="D331">
        <v>1.28842E-3</v>
      </c>
      <c r="E331" t="s">
        <v>1328</v>
      </c>
      <c r="F331" t="s">
        <v>198</v>
      </c>
      <c r="G331" t="s">
        <v>1076</v>
      </c>
      <c r="H331">
        <v>2</v>
      </c>
    </row>
    <row r="332" spans="1:8" x14ac:dyDescent="0.3">
      <c r="A332" t="s">
        <v>1173</v>
      </c>
      <c r="B332">
        <v>2021</v>
      </c>
      <c r="C332" t="s">
        <v>1073</v>
      </c>
      <c r="D332">
        <v>1.39189E-3</v>
      </c>
      <c r="E332" t="s">
        <v>1324</v>
      </c>
      <c r="F332" t="s">
        <v>198</v>
      </c>
      <c r="G332" t="s">
        <v>1076</v>
      </c>
      <c r="H332">
        <v>2</v>
      </c>
    </row>
    <row r="333" spans="1:8" x14ac:dyDescent="0.3">
      <c r="A333" t="s">
        <v>1176</v>
      </c>
      <c r="B333">
        <v>2021</v>
      </c>
      <c r="C333" t="s">
        <v>1073</v>
      </c>
      <c r="D333">
        <v>1.1088999999999999E-3</v>
      </c>
      <c r="E333" t="s">
        <v>1333</v>
      </c>
      <c r="F333" t="s">
        <v>198</v>
      </c>
      <c r="G333" t="s">
        <v>1076</v>
      </c>
      <c r="H333">
        <v>2</v>
      </c>
    </row>
    <row r="334" spans="1:8" x14ac:dyDescent="0.3">
      <c r="A334" t="s">
        <v>1179</v>
      </c>
      <c r="B334">
        <v>2021</v>
      </c>
      <c r="C334" t="s">
        <v>1073</v>
      </c>
      <c r="D334">
        <v>1.1088999999999999E-3</v>
      </c>
      <c r="E334" t="s">
        <v>1329</v>
      </c>
      <c r="F334" t="s">
        <v>198</v>
      </c>
      <c r="G334" t="s">
        <v>1076</v>
      </c>
      <c r="H334">
        <v>2</v>
      </c>
    </row>
    <row r="335" spans="1:8" x14ac:dyDescent="0.3">
      <c r="A335" t="s">
        <v>1181</v>
      </c>
      <c r="B335">
        <v>2021</v>
      </c>
      <c r="C335" t="s">
        <v>1073</v>
      </c>
      <c r="D335">
        <v>1.28842E-3</v>
      </c>
      <c r="E335" t="s">
        <v>1329</v>
      </c>
      <c r="F335" t="s">
        <v>198</v>
      </c>
      <c r="G335" t="s">
        <v>1076</v>
      </c>
      <c r="H335">
        <v>2</v>
      </c>
    </row>
    <row r="336" spans="1:8" x14ac:dyDescent="0.3">
      <c r="A336" t="s">
        <v>1184</v>
      </c>
      <c r="B336">
        <v>2021</v>
      </c>
      <c r="C336" t="s">
        <v>1073</v>
      </c>
      <c r="D336">
        <v>1.1088999999999999E-3</v>
      </c>
      <c r="E336" t="s">
        <v>1337</v>
      </c>
      <c r="F336" t="s">
        <v>198</v>
      </c>
      <c r="G336" t="s">
        <v>1076</v>
      </c>
      <c r="H336">
        <v>2</v>
      </c>
    </row>
    <row r="337" spans="1:8" x14ac:dyDescent="0.3">
      <c r="A337" t="s">
        <v>1186</v>
      </c>
      <c r="B337">
        <v>2021</v>
      </c>
      <c r="C337" t="s">
        <v>1073</v>
      </c>
      <c r="D337">
        <v>1.1088999999999999E-3</v>
      </c>
      <c r="E337" t="s">
        <v>1338</v>
      </c>
      <c r="F337" t="s">
        <v>198</v>
      </c>
      <c r="G337" t="s">
        <v>1076</v>
      </c>
      <c r="H337">
        <v>2</v>
      </c>
    </row>
    <row r="338" spans="1:8" x14ac:dyDescent="0.3">
      <c r="A338" t="s">
        <v>1188</v>
      </c>
      <c r="B338">
        <v>2021</v>
      </c>
      <c r="C338" t="s">
        <v>1073</v>
      </c>
      <c r="D338">
        <v>1.1088999999999999E-3</v>
      </c>
      <c r="E338" t="s">
        <v>1325</v>
      </c>
      <c r="F338" t="s">
        <v>198</v>
      </c>
      <c r="G338" t="s">
        <v>1076</v>
      </c>
      <c r="H338">
        <v>2</v>
      </c>
    </row>
    <row r="339" spans="1:8" x14ac:dyDescent="0.3">
      <c r="A339" t="s">
        <v>1190</v>
      </c>
      <c r="B339">
        <v>2021</v>
      </c>
      <c r="C339" t="s">
        <v>1073</v>
      </c>
      <c r="D339">
        <v>1.2112399999999999E-3</v>
      </c>
      <c r="E339" t="s">
        <v>1338</v>
      </c>
      <c r="F339" t="s">
        <v>198</v>
      </c>
      <c r="G339" t="s">
        <v>1076</v>
      </c>
      <c r="H339">
        <v>2</v>
      </c>
    </row>
    <row r="340" spans="1:8" x14ac:dyDescent="0.3">
      <c r="A340" t="s">
        <v>1192</v>
      </c>
      <c r="B340">
        <v>2021</v>
      </c>
      <c r="C340" t="s">
        <v>1073</v>
      </c>
      <c r="D340">
        <v>1.0325600000000001E-3</v>
      </c>
      <c r="E340" t="s">
        <v>1338</v>
      </c>
      <c r="F340" t="s">
        <v>198</v>
      </c>
      <c r="G340" t="s">
        <v>1076</v>
      </c>
      <c r="H340">
        <v>85</v>
      </c>
    </row>
    <row r="341" spans="1:8" x14ac:dyDescent="0.3">
      <c r="A341" t="s">
        <v>1194</v>
      </c>
      <c r="B341">
        <v>2021</v>
      </c>
      <c r="C341" t="s">
        <v>1073</v>
      </c>
      <c r="D341">
        <v>3.1257300000000002E-4</v>
      </c>
      <c r="E341" t="s">
        <v>1329</v>
      </c>
      <c r="F341" t="s">
        <v>198</v>
      </c>
      <c r="G341" t="s">
        <v>1076</v>
      </c>
      <c r="H341">
        <v>85</v>
      </c>
    </row>
    <row r="342" spans="1:8" x14ac:dyDescent="0.3">
      <c r="A342" t="s">
        <v>1196</v>
      </c>
      <c r="B342">
        <v>2021</v>
      </c>
      <c r="C342" t="s">
        <v>1198</v>
      </c>
      <c r="D342" s="1" t="s">
        <v>900</v>
      </c>
      <c r="E342" t="s">
        <v>1298</v>
      </c>
      <c r="F342" t="s">
        <v>198</v>
      </c>
      <c r="G342" t="s">
        <v>1200</v>
      </c>
      <c r="H342">
        <v>1</v>
      </c>
    </row>
    <row r="343" spans="1:8" x14ac:dyDescent="0.3">
      <c r="A343" t="s">
        <v>1201</v>
      </c>
      <c r="B343">
        <v>2021</v>
      </c>
      <c r="C343" t="s">
        <v>1198</v>
      </c>
      <c r="D343" s="1" t="s">
        <v>900</v>
      </c>
      <c r="E343" t="s">
        <v>1298</v>
      </c>
      <c r="F343" t="s">
        <v>198</v>
      </c>
      <c r="G343" t="s">
        <v>1200</v>
      </c>
      <c r="H343">
        <v>1</v>
      </c>
    </row>
    <row r="344" spans="1:8" x14ac:dyDescent="0.3">
      <c r="A344" t="s">
        <v>1203</v>
      </c>
      <c r="B344">
        <v>2021</v>
      </c>
      <c r="C344" t="s">
        <v>1198</v>
      </c>
      <c r="D344" s="1" t="s">
        <v>900</v>
      </c>
      <c r="E344" t="s">
        <v>1298</v>
      </c>
      <c r="F344" t="s">
        <v>198</v>
      </c>
      <c r="G344" t="s">
        <v>1200</v>
      </c>
      <c r="H344">
        <v>1</v>
      </c>
    </row>
    <row r="345" spans="1:8" x14ac:dyDescent="0.3">
      <c r="A345" t="s">
        <v>1205</v>
      </c>
      <c r="B345">
        <v>2021</v>
      </c>
      <c r="C345" t="s">
        <v>1198</v>
      </c>
      <c r="D345">
        <v>7.4132099999999999E-3</v>
      </c>
      <c r="E345" t="s">
        <v>1339</v>
      </c>
      <c r="F345" t="s">
        <v>198</v>
      </c>
      <c r="G345" t="s">
        <v>1200</v>
      </c>
      <c r="H345">
        <v>152</v>
      </c>
    </row>
    <row r="346" spans="1:8" x14ac:dyDescent="0.3">
      <c r="A346" t="s">
        <v>1209</v>
      </c>
      <c r="B346">
        <v>2021</v>
      </c>
      <c r="C346" t="s">
        <v>1198</v>
      </c>
      <c r="D346">
        <v>3.9962900000000004E-3</v>
      </c>
      <c r="E346" t="s">
        <v>1298</v>
      </c>
      <c r="F346" t="s">
        <v>198</v>
      </c>
      <c r="G346" t="s">
        <v>1200</v>
      </c>
      <c r="H346">
        <v>193</v>
      </c>
    </row>
    <row r="347" spans="1:8" x14ac:dyDescent="0.3">
      <c r="A347" t="s">
        <v>1212</v>
      </c>
      <c r="B347">
        <v>2021</v>
      </c>
      <c r="C347" t="s">
        <v>1198</v>
      </c>
      <c r="D347" s="1" t="s">
        <v>1215</v>
      </c>
      <c r="E347" t="s">
        <v>1298</v>
      </c>
      <c r="F347" t="s">
        <v>198</v>
      </c>
      <c r="G347" t="s">
        <v>1200</v>
      </c>
      <c r="H347">
        <v>1</v>
      </c>
    </row>
    <row r="348" spans="1:8" x14ac:dyDescent="0.3">
      <c r="A348" t="s">
        <v>1216</v>
      </c>
      <c r="B348">
        <v>2021</v>
      </c>
      <c r="C348" t="s">
        <v>1198</v>
      </c>
      <c r="D348" s="1" t="s">
        <v>900</v>
      </c>
      <c r="E348" t="s">
        <v>1298</v>
      </c>
      <c r="F348" t="s">
        <v>198</v>
      </c>
      <c r="G348" t="s">
        <v>1200</v>
      </c>
      <c r="H348">
        <v>1</v>
      </c>
    </row>
    <row r="349" spans="1:8" x14ac:dyDescent="0.3">
      <c r="A349" t="s">
        <v>1218</v>
      </c>
      <c r="B349">
        <v>2022</v>
      </c>
      <c r="C349" t="s">
        <v>1198</v>
      </c>
      <c r="D349">
        <v>1.67546E-4</v>
      </c>
      <c r="E349" t="s">
        <v>1298</v>
      </c>
      <c r="F349" t="s">
        <v>198</v>
      </c>
      <c r="G349" t="s">
        <v>1200</v>
      </c>
      <c r="H349">
        <v>1</v>
      </c>
    </row>
    <row r="350" spans="1:8" x14ac:dyDescent="0.3">
      <c r="A350" t="s">
        <v>1221</v>
      </c>
      <c r="B350">
        <v>2022</v>
      </c>
      <c r="C350" t="s">
        <v>1198</v>
      </c>
      <c r="D350">
        <v>1.67546E-4</v>
      </c>
      <c r="E350" t="s">
        <v>1298</v>
      </c>
      <c r="F350" t="s">
        <v>198</v>
      </c>
      <c r="G350" t="s">
        <v>1200</v>
      </c>
      <c r="H350">
        <v>1</v>
      </c>
    </row>
    <row r="351" spans="1:8" x14ac:dyDescent="0.3">
      <c r="A351" t="s">
        <v>1223</v>
      </c>
      <c r="B351">
        <v>2022</v>
      </c>
      <c r="C351" t="s">
        <v>1198</v>
      </c>
      <c r="D351">
        <v>4.0265400000000003E-3</v>
      </c>
      <c r="E351" t="s">
        <v>1298</v>
      </c>
      <c r="F351" t="s">
        <v>198</v>
      </c>
      <c r="G351" t="s">
        <v>1200</v>
      </c>
      <c r="H351">
        <v>976</v>
      </c>
    </row>
    <row r="352" spans="1:8" x14ac:dyDescent="0.3">
      <c r="A352" t="s">
        <v>1227</v>
      </c>
      <c r="B352">
        <v>2021</v>
      </c>
      <c r="C352" t="s">
        <v>1198</v>
      </c>
      <c r="D352" s="1" t="s">
        <v>900</v>
      </c>
      <c r="E352" t="s">
        <v>1298</v>
      </c>
      <c r="F352" t="s">
        <v>198</v>
      </c>
      <c r="G352" t="s">
        <v>1200</v>
      </c>
      <c r="H352">
        <v>1</v>
      </c>
    </row>
    <row r="353" spans="1:8" x14ac:dyDescent="0.3">
      <c r="A353" t="s">
        <v>1229</v>
      </c>
      <c r="B353">
        <v>2022</v>
      </c>
      <c r="C353" t="s">
        <v>1198</v>
      </c>
      <c r="D353">
        <v>4.0999199999999997E-4</v>
      </c>
      <c r="E353" t="s">
        <v>1298</v>
      </c>
      <c r="F353" t="s">
        <v>198</v>
      </c>
      <c r="G353" t="s">
        <v>1200</v>
      </c>
      <c r="H353">
        <v>1</v>
      </c>
    </row>
    <row r="354" spans="1:8" x14ac:dyDescent="0.3">
      <c r="A354" t="s">
        <v>1231</v>
      </c>
      <c r="B354">
        <v>2022</v>
      </c>
      <c r="C354" t="s">
        <v>1198</v>
      </c>
      <c r="D354">
        <v>1.4350300000000001E-4</v>
      </c>
      <c r="E354" t="s">
        <v>1298</v>
      </c>
      <c r="F354" t="s">
        <v>198</v>
      </c>
      <c r="G354" t="s">
        <v>1200</v>
      </c>
      <c r="H354">
        <v>1</v>
      </c>
    </row>
    <row r="355" spans="1:8" x14ac:dyDescent="0.3">
      <c r="A355" t="s">
        <v>1234</v>
      </c>
      <c r="B355">
        <v>2021</v>
      </c>
      <c r="C355" t="s">
        <v>1198</v>
      </c>
      <c r="D355">
        <v>1.4350300000000001E-4</v>
      </c>
      <c r="E355" t="s">
        <v>1298</v>
      </c>
      <c r="F355" t="s">
        <v>198</v>
      </c>
      <c r="G355" t="s">
        <v>1200</v>
      </c>
      <c r="H355">
        <v>1</v>
      </c>
    </row>
    <row r="356" spans="1:8" x14ac:dyDescent="0.3">
      <c r="A356" t="s">
        <v>1236</v>
      </c>
      <c r="B356">
        <v>2022</v>
      </c>
      <c r="C356" t="s">
        <v>1198</v>
      </c>
      <c r="D356">
        <v>1.80108E-2</v>
      </c>
      <c r="E356" t="s">
        <v>1298</v>
      </c>
      <c r="F356" t="s">
        <v>198</v>
      </c>
      <c r="G356" t="s">
        <v>1200</v>
      </c>
      <c r="H356" t="s">
        <v>198</v>
      </c>
    </row>
    <row r="357" spans="1:8" x14ac:dyDescent="0.3">
      <c r="A357" t="s">
        <v>1240</v>
      </c>
      <c r="B357">
        <v>2021</v>
      </c>
      <c r="C357" t="s">
        <v>1198</v>
      </c>
      <c r="D357">
        <v>3.6120800000000002E-4</v>
      </c>
      <c r="E357" t="s">
        <v>1298</v>
      </c>
      <c r="F357" t="s">
        <v>198</v>
      </c>
      <c r="G357" t="s">
        <v>1200</v>
      </c>
      <c r="H357">
        <v>1</v>
      </c>
    </row>
    <row r="358" spans="1:8" x14ac:dyDescent="0.3">
      <c r="A358" t="s">
        <v>1243</v>
      </c>
      <c r="B358">
        <v>2021</v>
      </c>
      <c r="C358" t="s">
        <v>1198</v>
      </c>
      <c r="D358">
        <v>1.67546E-4</v>
      </c>
      <c r="E358" t="s">
        <v>1298</v>
      </c>
      <c r="F358" t="s">
        <v>198</v>
      </c>
      <c r="G358" t="s">
        <v>1200</v>
      </c>
      <c r="H358">
        <v>1</v>
      </c>
    </row>
    <row r="359" spans="1:8" x14ac:dyDescent="0.3">
      <c r="A359" t="s">
        <v>1245</v>
      </c>
      <c r="B359">
        <v>2022</v>
      </c>
      <c r="C359" t="s">
        <v>1198</v>
      </c>
      <c r="D359" s="1" t="s">
        <v>900</v>
      </c>
      <c r="E359" t="s">
        <v>1298</v>
      </c>
      <c r="F359" t="s">
        <v>198</v>
      </c>
      <c r="G359" t="s">
        <v>1200</v>
      </c>
      <c r="H359">
        <v>1</v>
      </c>
    </row>
    <row r="360" spans="1:8" x14ac:dyDescent="0.3">
      <c r="A360" t="s">
        <v>1247</v>
      </c>
      <c r="B360">
        <v>2022</v>
      </c>
      <c r="C360" t="s">
        <v>1198</v>
      </c>
      <c r="D360">
        <v>1.91626E-4</v>
      </c>
      <c r="E360" t="s">
        <v>1298</v>
      </c>
      <c r="F360" t="s">
        <v>198</v>
      </c>
      <c r="G360" t="s">
        <v>1200</v>
      </c>
      <c r="H360">
        <v>1</v>
      </c>
    </row>
    <row r="361" spans="1:8" x14ac:dyDescent="0.3">
      <c r="A361" t="s">
        <v>1250</v>
      </c>
      <c r="B361">
        <v>2022</v>
      </c>
      <c r="C361" t="s">
        <v>1198</v>
      </c>
      <c r="D361">
        <v>1.91626E-4</v>
      </c>
      <c r="E361" t="s">
        <v>1298</v>
      </c>
      <c r="F361" t="s">
        <v>198</v>
      </c>
      <c r="G361" t="s">
        <v>1200</v>
      </c>
      <c r="H361">
        <v>1</v>
      </c>
    </row>
    <row r="362" spans="1:8" x14ac:dyDescent="0.3">
      <c r="A362" t="s">
        <v>1252</v>
      </c>
      <c r="B362">
        <v>2022</v>
      </c>
      <c r="C362" t="s">
        <v>1198</v>
      </c>
      <c r="D362">
        <v>2.15742E-4</v>
      </c>
      <c r="E362" t="s">
        <v>1298</v>
      </c>
      <c r="F362" t="s">
        <v>198</v>
      </c>
      <c r="G362" t="s">
        <v>1200</v>
      </c>
      <c r="H362">
        <v>1</v>
      </c>
    </row>
    <row r="363" spans="1:8" x14ac:dyDescent="0.3">
      <c r="A363" t="s">
        <v>1255</v>
      </c>
      <c r="B363">
        <v>2022</v>
      </c>
      <c r="C363" t="s">
        <v>1198</v>
      </c>
      <c r="D363">
        <v>1.4350300000000001E-4</v>
      </c>
      <c r="E363" t="s">
        <v>1298</v>
      </c>
      <c r="F363" t="s">
        <v>198</v>
      </c>
      <c r="G363" t="s">
        <v>1200</v>
      </c>
      <c r="H363">
        <v>1</v>
      </c>
    </row>
    <row r="364" spans="1:8" x14ac:dyDescent="0.3">
      <c r="A364" t="s">
        <v>1257</v>
      </c>
      <c r="B364">
        <v>2022</v>
      </c>
      <c r="C364" t="s">
        <v>1198</v>
      </c>
      <c r="D364">
        <v>1.8389999999999999E-3</v>
      </c>
      <c r="E364" t="s">
        <v>1298</v>
      </c>
      <c r="F364" t="s">
        <v>198</v>
      </c>
      <c r="G364" t="s">
        <v>1200</v>
      </c>
      <c r="H364">
        <v>1438</v>
      </c>
    </row>
    <row r="365" spans="1:8" x14ac:dyDescent="0.3">
      <c r="A365" t="s">
        <v>1260</v>
      </c>
      <c r="B365">
        <v>2021</v>
      </c>
      <c r="C365" t="s">
        <v>1198</v>
      </c>
      <c r="D365" s="1" t="s">
        <v>900</v>
      </c>
      <c r="E365" t="s">
        <v>1298</v>
      </c>
      <c r="F365" t="s">
        <v>198</v>
      </c>
      <c r="G365" t="s">
        <v>1200</v>
      </c>
      <c r="H365">
        <v>1</v>
      </c>
    </row>
    <row r="366" spans="1:8" x14ac:dyDescent="0.3">
      <c r="A366" t="s">
        <v>1262</v>
      </c>
      <c r="B366">
        <v>2021</v>
      </c>
      <c r="C366" t="s">
        <v>1198</v>
      </c>
      <c r="D366" s="1" t="s">
        <v>900</v>
      </c>
      <c r="E366" t="s">
        <v>1340</v>
      </c>
      <c r="F366" t="s">
        <v>198</v>
      </c>
      <c r="G366" t="s">
        <v>1200</v>
      </c>
      <c r="H366">
        <v>1</v>
      </c>
    </row>
    <row r="367" spans="1:8" x14ac:dyDescent="0.3">
      <c r="A367" t="s">
        <v>1264</v>
      </c>
      <c r="B367">
        <v>2021</v>
      </c>
      <c r="C367" t="s">
        <v>1198</v>
      </c>
      <c r="D367" s="1" t="s">
        <v>900</v>
      </c>
      <c r="E367" t="s">
        <v>1341</v>
      </c>
      <c r="F367" t="s">
        <v>198</v>
      </c>
      <c r="G367" t="s">
        <v>1200</v>
      </c>
      <c r="H367">
        <v>1</v>
      </c>
    </row>
    <row r="368" spans="1:8" x14ac:dyDescent="0.3">
      <c r="A368" t="s">
        <v>1266</v>
      </c>
      <c r="B368">
        <v>2021</v>
      </c>
      <c r="C368" t="s">
        <v>1198</v>
      </c>
      <c r="D368" s="1" t="s">
        <v>900</v>
      </c>
      <c r="E368" t="s">
        <v>1339</v>
      </c>
      <c r="F368" t="s">
        <v>198</v>
      </c>
      <c r="G368" t="s">
        <v>1200</v>
      </c>
      <c r="H368">
        <v>1</v>
      </c>
    </row>
    <row r="369" spans="1:8" x14ac:dyDescent="0.3">
      <c r="A369" t="s">
        <v>1268</v>
      </c>
      <c r="B369">
        <v>2021</v>
      </c>
      <c r="C369" t="s">
        <v>1198</v>
      </c>
      <c r="D369">
        <v>7.4132099999999999E-3</v>
      </c>
      <c r="E369" t="s">
        <v>1342</v>
      </c>
      <c r="F369" t="s">
        <v>198</v>
      </c>
      <c r="G369" t="s">
        <v>1200</v>
      </c>
      <c r="H369">
        <v>152</v>
      </c>
    </row>
    <row r="370" spans="1:8" x14ac:dyDescent="0.3">
      <c r="A370" t="s">
        <v>1270</v>
      </c>
      <c r="B370">
        <v>2007</v>
      </c>
      <c r="C370" t="s">
        <v>1069</v>
      </c>
      <c r="D370" s="1" t="s">
        <v>1215</v>
      </c>
      <c r="E370" t="s">
        <v>1343</v>
      </c>
      <c r="F370" t="s">
        <v>198</v>
      </c>
      <c r="H370">
        <v>1</v>
      </c>
    </row>
    <row r="371" spans="1:8" x14ac:dyDescent="0.3">
      <c r="A371" t="s">
        <v>1273</v>
      </c>
      <c r="B371">
        <v>2015</v>
      </c>
      <c r="C371" t="s">
        <v>1275</v>
      </c>
      <c r="D371">
        <v>1.19496E-4</v>
      </c>
      <c r="E371" t="s">
        <v>1281</v>
      </c>
      <c r="F371" t="s">
        <v>1278</v>
      </c>
      <c r="G371" t="s">
        <v>869</v>
      </c>
      <c r="H371">
        <v>164</v>
      </c>
    </row>
    <row r="372" spans="1:8" x14ac:dyDescent="0.3">
      <c r="A372" t="s">
        <v>1279</v>
      </c>
      <c r="B372">
        <v>2015</v>
      </c>
      <c r="C372" t="s">
        <v>1275</v>
      </c>
      <c r="D372" s="1" t="s">
        <v>900</v>
      </c>
      <c r="E372" t="s">
        <v>1301</v>
      </c>
      <c r="F372" t="s">
        <v>1278</v>
      </c>
      <c r="G372" t="s">
        <v>869</v>
      </c>
      <c r="H372">
        <v>164</v>
      </c>
    </row>
    <row r="373" spans="1:8" x14ac:dyDescent="0.3">
      <c r="A373" t="s">
        <v>1282</v>
      </c>
      <c r="B373">
        <v>2019</v>
      </c>
      <c r="C373" t="s">
        <v>1284</v>
      </c>
      <c r="D373" s="1" t="s">
        <v>457</v>
      </c>
      <c r="E373" t="s">
        <v>1285</v>
      </c>
      <c r="F373" t="s">
        <v>1287</v>
      </c>
      <c r="G373" t="s">
        <v>1288</v>
      </c>
      <c r="H373">
        <v>164</v>
      </c>
    </row>
    <row r="376" spans="1:8" x14ac:dyDescent="0.3">
      <c r="F376" t="s">
        <v>1412</v>
      </c>
    </row>
  </sheetData>
  <pageMargins left="0.7" right="0.7" top="0.75" bottom="0.75" header="0.3" footer="0.3"/>
  <ignoredErrors>
    <ignoredError sqref="D352 D359 D365:D37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F311-F40F-449C-9702-8039475E3538}">
  <dimension ref="A3:V48"/>
  <sheetViews>
    <sheetView zoomScale="70" workbookViewId="0">
      <selection activeCell="A3" sqref="A3:V19"/>
    </sheetView>
  </sheetViews>
  <sheetFormatPr defaultRowHeight="14.4" x14ac:dyDescent="0.3"/>
  <cols>
    <col min="1" max="1" width="13.44140625" bestFit="1" customWidth="1"/>
    <col min="2" max="2" width="23.88671875" bestFit="1" customWidth="1"/>
    <col min="3" max="3" width="16.88671875" bestFit="1" customWidth="1"/>
    <col min="4" max="4" width="16" bestFit="1" customWidth="1"/>
    <col min="5" max="5" width="16.88671875" bestFit="1" customWidth="1"/>
    <col min="6" max="6" width="17" bestFit="1" customWidth="1"/>
    <col min="7" max="7" width="11.44140625" bestFit="1" customWidth="1"/>
    <col min="8" max="8" width="13.88671875" bestFit="1" customWidth="1"/>
    <col min="9" max="9" width="14.44140625" bestFit="1" customWidth="1"/>
    <col min="10" max="10" width="12.88671875" bestFit="1" customWidth="1"/>
    <col min="11" max="11" width="11.44140625" bestFit="1" customWidth="1"/>
    <col min="12" max="12" width="17.88671875" bestFit="1" customWidth="1"/>
    <col min="13" max="13" width="16.6640625" bestFit="1" customWidth="1"/>
    <col min="14" max="14" width="10.5546875" bestFit="1" customWidth="1"/>
    <col min="15" max="15" width="12.33203125" bestFit="1" customWidth="1"/>
    <col min="16" max="16" width="16.33203125" bestFit="1" customWidth="1"/>
    <col min="17" max="17" width="13.109375" bestFit="1" customWidth="1"/>
    <col min="18" max="18" width="17" bestFit="1" customWidth="1"/>
    <col min="19" max="19" width="16.33203125" bestFit="1" customWidth="1"/>
    <col min="20" max="20" width="15.5546875" bestFit="1" customWidth="1"/>
    <col min="21" max="21" width="17" bestFit="1" customWidth="1"/>
    <col min="22" max="23" width="14.5546875" bestFit="1" customWidth="1"/>
  </cols>
  <sheetData>
    <row r="3" spans="1:22" x14ac:dyDescent="0.3">
      <c r="A3" s="13" t="s">
        <v>1450</v>
      </c>
      <c r="B3" t="s">
        <v>1443</v>
      </c>
      <c r="C3" t="s">
        <v>1423</v>
      </c>
      <c r="D3" t="s">
        <v>1426</v>
      </c>
      <c r="E3" t="s">
        <v>1424</v>
      </c>
      <c r="F3" t="s">
        <v>1430</v>
      </c>
      <c r="G3" t="s">
        <v>1434</v>
      </c>
      <c r="H3" t="s">
        <v>1437</v>
      </c>
      <c r="I3" t="s">
        <v>1438</v>
      </c>
      <c r="J3" t="s">
        <v>1433</v>
      </c>
      <c r="K3" t="s">
        <v>1435</v>
      </c>
      <c r="L3" t="s">
        <v>1436</v>
      </c>
      <c r="M3" t="s">
        <v>1429</v>
      </c>
      <c r="N3" t="s">
        <v>1439</v>
      </c>
      <c r="O3" t="s">
        <v>1427</v>
      </c>
      <c r="P3" t="s">
        <v>1425</v>
      </c>
      <c r="Q3" t="s">
        <v>1421</v>
      </c>
      <c r="R3" t="s">
        <v>1431</v>
      </c>
      <c r="S3" t="s">
        <v>1422</v>
      </c>
      <c r="T3" t="s">
        <v>1420</v>
      </c>
      <c r="U3" t="s">
        <v>1432</v>
      </c>
      <c r="V3" t="s">
        <v>1428</v>
      </c>
    </row>
    <row r="4" spans="1:22" x14ac:dyDescent="0.3">
      <c r="A4" s="14" t="s">
        <v>894</v>
      </c>
      <c r="B4">
        <v>1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</row>
    <row r="5" spans="1:22" x14ac:dyDescent="0.3">
      <c r="A5" s="14" t="s">
        <v>1200</v>
      </c>
      <c r="B5">
        <v>28</v>
      </c>
      <c r="C5">
        <v>28</v>
      </c>
      <c r="D5">
        <v>22</v>
      </c>
      <c r="E5">
        <v>22</v>
      </c>
      <c r="F5">
        <v>22</v>
      </c>
      <c r="G5">
        <v>22</v>
      </c>
      <c r="H5">
        <v>21</v>
      </c>
      <c r="I5">
        <v>21</v>
      </c>
      <c r="J5">
        <v>21</v>
      </c>
      <c r="K5">
        <v>22</v>
      </c>
      <c r="L5">
        <v>22</v>
      </c>
      <c r="M5">
        <v>22</v>
      </c>
      <c r="N5">
        <v>22</v>
      </c>
      <c r="O5">
        <v>21</v>
      </c>
      <c r="P5">
        <v>15</v>
      </c>
      <c r="Q5">
        <v>22</v>
      </c>
      <c r="R5">
        <v>0</v>
      </c>
      <c r="S5">
        <v>0</v>
      </c>
      <c r="T5">
        <v>22</v>
      </c>
      <c r="U5">
        <v>22</v>
      </c>
      <c r="V5">
        <v>23</v>
      </c>
    </row>
    <row r="6" spans="1:22" x14ac:dyDescent="0.3">
      <c r="A6" s="14" t="s">
        <v>476</v>
      </c>
      <c r="B6">
        <v>44</v>
      </c>
      <c r="C6">
        <v>43</v>
      </c>
      <c r="D6">
        <v>35</v>
      </c>
      <c r="E6">
        <v>35</v>
      </c>
      <c r="F6">
        <v>35</v>
      </c>
      <c r="G6">
        <v>29</v>
      </c>
      <c r="H6">
        <v>25</v>
      </c>
      <c r="I6">
        <v>24</v>
      </c>
      <c r="J6">
        <v>32</v>
      </c>
      <c r="K6">
        <v>28</v>
      </c>
      <c r="L6">
        <v>28</v>
      </c>
      <c r="M6">
        <v>21</v>
      </c>
      <c r="N6">
        <v>21</v>
      </c>
      <c r="O6">
        <v>18</v>
      </c>
      <c r="P6">
        <v>26</v>
      </c>
      <c r="Q6">
        <v>24</v>
      </c>
      <c r="R6">
        <v>18</v>
      </c>
      <c r="S6">
        <v>17</v>
      </c>
      <c r="T6">
        <v>14</v>
      </c>
      <c r="U6">
        <v>15</v>
      </c>
      <c r="V6">
        <v>5</v>
      </c>
    </row>
    <row r="7" spans="1:22" x14ac:dyDescent="0.3">
      <c r="A7" s="14" t="s">
        <v>574</v>
      </c>
      <c r="B7">
        <v>6</v>
      </c>
      <c r="C7">
        <v>6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6</v>
      </c>
      <c r="M7">
        <v>0</v>
      </c>
      <c r="N7">
        <v>0</v>
      </c>
      <c r="O7">
        <v>0</v>
      </c>
      <c r="P7">
        <v>5</v>
      </c>
      <c r="Q7">
        <v>5</v>
      </c>
      <c r="R7">
        <v>0</v>
      </c>
      <c r="S7">
        <v>1</v>
      </c>
      <c r="T7">
        <v>5</v>
      </c>
      <c r="U7">
        <v>5</v>
      </c>
      <c r="V7">
        <v>5</v>
      </c>
    </row>
    <row r="8" spans="1:22" x14ac:dyDescent="0.3">
      <c r="A8" s="14" t="s">
        <v>869</v>
      </c>
      <c r="B8">
        <v>8</v>
      </c>
      <c r="C8">
        <v>8</v>
      </c>
      <c r="D8">
        <v>1</v>
      </c>
      <c r="E8">
        <v>1</v>
      </c>
      <c r="F8">
        <v>4</v>
      </c>
      <c r="G8">
        <v>7</v>
      </c>
      <c r="H8">
        <v>5</v>
      </c>
      <c r="I8">
        <v>5</v>
      </c>
      <c r="J8">
        <v>3</v>
      </c>
      <c r="K8">
        <v>1</v>
      </c>
      <c r="L8">
        <v>1</v>
      </c>
      <c r="M8">
        <v>5</v>
      </c>
      <c r="N8">
        <v>5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</row>
    <row r="9" spans="1:22" x14ac:dyDescent="0.3">
      <c r="A9" s="14" t="s">
        <v>1051</v>
      </c>
      <c r="B9">
        <v>4</v>
      </c>
      <c r="C9">
        <v>4</v>
      </c>
      <c r="D9">
        <v>2</v>
      </c>
      <c r="E9">
        <v>2</v>
      </c>
      <c r="F9">
        <v>4</v>
      </c>
      <c r="G9">
        <v>4</v>
      </c>
      <c r="H9">
        <v>2</v>
      </c>
      <c r="I9">
        <v>2</v>
      </c>
      <c r="J9">
        <v>2</v>
      </c>
      <c r="K9">
        <v>1</v>
      </c>
      <c r="L9">
        <v>2</v>
      </c>
      <c r="M9">
        <v>0</v>
      </c>
      <c r="N9">
        <v>0</v>
      </c>
      <c r="O9">
        <v>2</v>
      </c>
      <c r="P9">
        <v>1</v>
      </c>
      <c r="Q9">
        <v>1</v>
      </c>
      <c r="R9">
        <v>1</v>
      </c>
      <c r="S9">
        <v>0</v>
      </c>
      <c r="T9">
        <v>1</v>
      </c>
      <c r="U9">
        <v>2</v>
      </c>
      <c r="V9">
        <v>1</v>
      </c>
    </row>
    <row r="10" spans="1:22" x14ac:dyDescent="0.3">
      <c r="A10" s="14" t="s">
        <v>622</v>
      </c>
      <c r="B10">
        <v>26</v>
      </c>
      <c r="C10">
        <v>26</v>
      </c>
      <c r="D10">
        <v>23</v>
      </c>
      <c r="E10">
        <v>23</v>
      </c>
      <c r="F10">
        <v>21</v>
      </c>
      <c r="G10">
        <v>15</v>
      </c>
      <c r="H10">
        <v>8</v>
      </c>
      <c r="I10">
        <v>8</v>
      </c>
      <c r="J10">
        <v>11</v>
      </c>
      <c r="K10">
        <v>13</v>
      </c>
      <c r="L10">
        <v>13</v>
      </c>
      <c r="M10">
        <v>4</v>
      </c>
      <c r="N10">
        <v>4</v>
      </c>
      <c r="O10">
        <v>3</v>
      </c>
      <c r="P10">
        <v>9</v>
      </c>
      <c r="Q10">
        <v>1</v>
      </c>
      <c r="R10">
        <v>8</v>
      </c>
      <c r="S10">
        <v>16</v>
      </c>
      <c r="T10">
        <v>1</v>
      </c>
      <c r="U10">
        <v>4</v>
      </c>
      <c r="V10">
        <v>1</v>
      </c>
    </row>
    <row r="11" spans="1:22" x14ac:dyDescent="0.3">
      <c r="A11" s="14" t="s">
        <v>463</v>
      </c>
      <c r="B11">
        <v>3</v>
      </c>
      <c r="C11">
        <v>3</v>
      </c>
      <c r="D11">
        <v>3</v>
      </c>
      <c r="E11">
        <v>3</v>
      </c>
      <c r="F11">
        <v>3</v>
      </c>
      <c r="G11">
        <v>1</v>
      </c>
      <c r="H11">
        <v>2</v>
      </c>
      <c r="I11">
        <v>2</v>
      </c>
      <c r="J11">
        <v>2</v>
      </c>
      <c r="K11">
        <v>2</v>
      </c>
      <c r="L11">
        <v>2</v>
      </c>
      <c r="M11">
        <v>0</v>
      </c>
      <c r="N11">
        <v>0</v>
      </c>
      <c r="O11">
        <v>2</v>
      </c>
      <c r="P11">
        <v>2</v>
      </c>
      <c r="Q11">
        <v>3</v>
      </c>
      <c r="R11">
        <v>2</v>
      </c>
      <c r="S11">
        <v>1</v>
      </c>
      <c r="T11">
        <v>0</v>
      </c>
      <c r="U11">
        <v>0</v>
      </c>
      <c r="V11">
        <v>0</v>
      </c>
    </row>
    <row r="12" spans="1:22" x14ac:dyDescent="0.3">
      <c r="A12" s="14" t="s">
        <v>197</v>
      </c>
      <c r="B12">
        <v>174</v>
      </c>
      <c r="C12">
        <v>173</v>
      </c>
      <c r="D12">
        <v>73</v>
      </c>
      <c r="E12">
        <v>71</v>
      </c>
      <c r="F12">
        <v>60</v>
      </c>
      <c r="G12">
        <v>102</v>
      </c>
      <c r="H12">
        <v>52</v>
      </c>
      <c r="I12">
        <v>51</v>
      </c>
      <c r="J12">
        <v>43</v>
      </c>
      <c r="K12">
        <v>57</v>
      </c>
      <c r="L12">
        <v>53</v>
      </c>
      <c r="M12">
        <v>52</v>
      </c>
      <c r="N12">
        <v>52</v>
      </c>
      <c r="O12">
        <v>14</v>
      </c>
      <c r="P12">
        <v>46</v>
      </c>
      <c r="Q12">
        <v>39</v>
      </c>
      <c r="R12">
        <v>20</v>
      </c>
      <c r="S12">
        <v>51</v>
      </c>
      <c r="T12">
        <v>39</v>
      </c>
      <c r="U12">
        <v>19</v>
      </c>
      <c r="V12">
        <v>28</v>
      </c>
    </row>
    <row r="13" spans="1:22" x14ac:dyDescent="0.3">
      <c r="A13" s="14" t="s">
        <v>172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6</v>
      </c>
      <c r="I13">
        <v>6</v>
      </c>
      <c r="J13">
        <v>1</v>
      </c>
      <c r="K13">
        <v>7</v>
      </c>
      <c r="L13">
        <v>7</v>
      </c>
      <c r="M13">
        <v>7</v>
      </c>
      <c r="N13">
        <v>7</v>
      </c>
      <c r="O13">
        <v>6</v>
      </c>
      <c r="P13">
        <v>7</v>
      </c>
      <c r="Q13">
        <v>7</v>
      </c>
      <c r="R13">
        <v>6</v>
      </c>
      <c r="S13">
        <v>0</v>
      </c>
      <c r="T13">
        <v>1</v>
      </c>
      <c r="U13">
        <v>1</v>
      </c>
      <c r="V13">
        <v>0</v>
      </c>
    </row>
    <row r="14" spans="1:22" x14ac:dyDescent="0.3">
      <c r="A14" s="14" t="s">
        <v>607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</row>
    <row r="15" spans="1:22" x14ac:dyDescent="0.3">
      <c r="A15" s="14" t="s">
        <v>448</v>
      </c>
      <c r="B15">
        <v>13</v>
      </c>
      <c r="C15">
        <v>13</v>
      </c>
      <c r="D15">
        <v>10</v>
      </c>
      <c r="E15">
        <v>10</v>
      </c>
      <c r="F15">
        <v>9</v>
      </c>
      <c r="G15">
        <v>12</v>
      </c>
      <c r="H15">
        <v>10</v>
      </c>
      <c r="I15">
        <v>10</v>
      </c>
      <c r="J15">
        <v>9</v>
      </c>
      <c r="K15">
        <v>10</v>
      </c>
      <c r="L15">
        <v>6</v>
      </c>
      <c r="M15">
        <v>7</v>
      </c>
      <c r="N15">
        <v>7</v>
      </c>
      <c r="O15">
        <v>7</v>
      </c>
      <c r="P15">
        <v>9</v>
      </c>
      <c r="Q15">
        <v>9</v>
      </c>
      <c r="R15">
        <v>1</v>
      </c>
      <c r="S15">
        <v>5</v>
      </c>
      <c r="T15">
        <v>9</v>
      </c>
      <c r="U15">
        <v>8</v>
      </c>
      <c r="V15">
        <v>10</v>
      </c>
    </row>
    <row r="16" spans="1:22" x14ac:dyDescent="0.3">
      <c r="A16" s="14" t="s">
        <v>1288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 s="14" t="s">
        <v>1076</v>
      </c>
      <c r="B17">
        <v>55</v>
      </c>
      <c r="C17">
        <v>55</v>
      </c>
      <c r="D17">
        <v>49</v>
      </c>
      <c r="E17">
        <v>49</v>
      </c>
      <c r="F17">
        <v>49</v>
      </c>
      <c r="G17">
        <v>6</v>
      </c>
      <c r="H17">
        <v>55</v>
      </c>
      <c r="I17">
        <v>54</v>
      </c>
      <c r="J17">
        <v>49</v>
      </c>
      <c r="K17">
        <v>4</v>
      </c>
      <c r="L17">
        <v>4</v>
      </c>
      <c r="M17">
        <v>6</v>
      </c>
      <c r="N17">
        <v>6</v>
      </c>
      <c r="O17">
        <v>49</v>
      </c>
      <c r="P17">
        <v>0</v>
      </c>
      <c r="Q17">
        <v>0</v>
      </c>
      <c r="R17">
        <v>49</v>
      </c>
      <c r="S17">
        <v>7</v>
      </c>
      <c r="T17">
        <v>0</v>
      </c>
      <c r="U17">
        <v>0</v>
      </c>
      <c r="V17">
        <v>1</v>
      </c>
    </row>
    <row r="18" spans="1:22" x14ac:dyDescent="0.3">
      <c r="A18" s="14" t="s">
        <v>1418</v>
      </c>
      <c r="B18">
        <v>1</v>
      </c>
      <c r="C18">
        <v>1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</row>
    <row r="19" spans="1:22" x14ac:dyDescent="0.3">
      <c r="A19" s="14" t="s">
        <v>1419</v>
      </c>
      <c r="B19">
        <v>372</v>
      </c>
      <c r="C19">
        <v>370</v>
      </c>
      <c r="D19">
        <v>227</v>
      </c>
      <c r="E19">
        <v>225</v>
      </c>
      <c r="F19">
        <v>215</v>
      </c>
      <c r="G19">
        <v>207</v>
      </c>
      <c r="H19">
        <v>188</v>
      </c>
      <c r="I19">
        <v>185</v>
      </c>
      <c r="J19">
        <v>174</v>
      </c>
      <c r="K19">
        <v>152</v>
      </c>
      <c r="L19">
        <v>145</v>
      </c>
      <c r="M19">
        <v>126</v>
      </c>
      <c r="N19">
        <v>126</v>
      </c>
      <c r="O19">
        <v>122</v>
      </c>
      <c r="P19">
        <v>120</v>
      </c>
      <c r="Q19">
        <v>112</v>
      </c>
      <c r="R19">
        <v>105</v>
      </c>
      <c r="S19">
        <v>102</v>
      </c>
      <c r="T19">
        <v>93</v>
      </c>
      <c r="U19">
        <v>77</v>
      </c>
      <c r="V19">
        <v>74</v>
      </c>
    </row>
    <row r="31" spans="1:22" x14ac:dyDescent="0.3">
      <c r="A31" s="4"/>
      <c r="B31" s="5"/>
      <c r="C31" s="6"/>
    </row>
    <row r="32" spans="1:22" x14ac:dyDescent="0.3">
      <c r="A32" s="7"/>
      <c r="B32" s="8"/>
      <c r="C32" s="9"/>
    </row>
    <row r="33" spans="1:3" x14ac:dyDescent="0.3">
      <c r="A33" s="7"/>
      <c r="B33" s="8"/>
      <c r="C33" s="9"/>
    </row>
    <row r="34" spans="1:3" x14ac:dyDescent="0.3">
      <c r="A34" s="7"/>
      <c r="B34" s="8"/>
      <c r="C34" s="9"/>
    </row>
    <row r="35" spans="1:3" x14ac:dyDescent="0.3">
      <c r="A35" s="7"/>
      <c r="B35" s="8"/>
      <c r="C35" s="9"/>
    </row>
    <row r="36" spans="1:3" x14ac:dyDescent="0.3">
      <c r="A36" s="7"/>
      <c r="B36" s="8"/>
      <c r="C36" s="9"/>
    </row>
    <row r="37" spans="1:3" x14ac:dyDescent="0.3">
      <c r="A37" s="7"/>
      <c r="B37" s="8"/>
      <c r="C37" s="9"/>
    </row>
    <row r="38" spans="1:3" x14ac:dyDescent="0.3">
      <c r="A38" s="7"/>
      <c r="B38" s="8"/>
      <c r="C38" s="9"/>
    </row>
    <row r="39" spans="1:3" x14ac:dyDescent="0.3">
      <c r="A39" s="7"/>
      <c r="B39" s="8"/>
      <c r="C39" s="9"/>
    </row>
    <row r="40" spans="1:3" x14ac:dyDescent="0.3">
      <c r="A40" s="7"/>
      <c r="B40" s="8"/>
      <c r="C40" s="9"/>
    </row>
    <row r="41" spans="1:3" x14ac:dyDescent="0.3">
      <c r="A41" s="7"/>
      <c r="B41" s="8"/>
      <c r="C41" s="9"/>
    </row>
    <row r="42" spans="1:3" x14ac:dyDescent="0.3">
      <c r="A42" s="7"/>
      <c r="B42" s="8"/>
      <c r="C42" s="9"/>
    </row>
    <row r="43" spans="1:3" x14ac:dyDescent="0.3">
      <c r="A43" s="7"/>
      <c r="B43" s="8"/>
      <c r="C43" s="9"/>
    </row>
    <row r="44" spans="1:3" x14ac:dyDescent="0.3">
      <c r="A44" s="7"/>
      <c r="B44" s="8"/>
      <c r="C44" s="9"/>
    </row>
    <row r="45" spans="1:3" x14ac:dyDescent="0.3">
      <c r="A45" s="7"/>
      <c r="B45" s="8"/>
      <c r="C45" s="9"/>
    </row>
    <row r="46" spans="1:3" x14ac:dyDescent="0.3">
      <c r="A46" s="7"/>
      <c r="B46" s="8"/>
      <c r="C46" s="9"/>
    </row>
    <row r="47" spans="1:3" x14ac:dyDescent="0.3">
      <c r="A47" s="7"/>
      <c r="B47" s="8"/>
      <c r="C47" s="9"/>
    </row>
    <row r="48" spans="1:3" x14ac:dyDescent="0.3">
      <c r="A48" s="10"/>
      <c r="B48" s="11"/>
      <c r="C4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92C1-F790-4FC0-A97D-B1D40139291F}">
  <dimension ref="A1:P59"/>
  <sheetViews>
    <sheetView topLeftCell="A59" workbookViewId="0">
      <selection activeCell="A38" sqref="A38:H59"/>
    </sheetView>
  </sheetViews>
  <sheetFormatPr defaultRowHeight="14.4" x14ac:dyDescent="0.3"/>
  <cols>
    <col min="1" max="1" width="15.88671875" bestFit="1" customWidth="1"/>
  </cols>
  <sheetData>
    <row r="1" spans="1:16" x14ac:dyDescent="0.3">
      <c r="A1" t="s">
        <v>1450</v>
      </c>
      <c r="B1" s="14" t="s">
        <v>894</v>
      </c>
      <c r="C1" s="14" t="s">
        <v>1200</v>
      </c>
      <c r="D1" s="14" t="s">
        <v>476</v>
      </c>
      <c r="E1" s="14" t="s">
        <v>574</v>
      </c>
      <c r="F1" s="14" t="s">
        <v>869</v>
      </c>
      <c r="G1" s="14" t="s">
        <v>1051</v>
      </c>
      <c r="H1" s="14" t="s">
        <v>622</v>
      </c>
      <c r="I1" s="14" t="s">
        <v>463</v>
      </c>
      <c r="J1" s="14" t="s">
        <v>197</v>
      </c>
      <c r="K1" s="14" t="s">
        <v>172</v>
      </c>
      <c r="L1" s="14" t="s">
        <v>607</v>
      </c>
      <c r="M1" s="14" t="s">
        <v>448</v>
      </c>
      <c r="N1" s="14" t="s">
        <v>1288</v>
      </c>
      <c r="O1" s="14" t="s">
        <v>1076</v>
      </c>
      <c r="P1" s="14" t="s">
        <v>1419</v>
      </c>
    </row>
    <row r="2" spans="1:16" x14ac:dyDescent="0.3">
      <c r="A2" t="s">
        <v>1452</v>
      </c>
      <c r="B2">
        <v>1</v>
      </c>
      <c r="C2">
        <v>28</v>
      </c>
      <c r="D2">
        <v>44</v>
      </c>
      <c r="E2">
        <v>6</v>
      </c>
      <c r="F2">
        <v>8</v>
      </c>
      <c r="G2">
        <v>4</v>
      </c>
      <c r="H2">
        <v>26</v>
      </c>
      <c r="I2">
        <v>3</v>
      </c>
      <c r="J2">
        <v>174</v>
      </c>
      <c r="K2">
        <v>7</v>
      </c>
      <c r="L2">
        <v>1</v>
      </c>
      <c r="M2">
        <v>13</v>
      </c>
      <c r="N2">
        <v>1</v>
      </c>
      <c r="O2">
        <v>55</v>
      </c>
      <c r="P2">
        <v>372</v>
      </c>
    </row>
    <row r="3" spans="1:16" x14ac:dyDescent="0.3">
      <c r="A3" t="s">
        <v>1423</v>
      </c>
      <c r="B3">
        <v>1</v>
      </c>
      <c r="C3">
        <v>28</v>
      </c>
      <c r="D3">
        <v>43</v>
      </c>
      <c r="E3">
        <v>6</v>
      </c>
      <c r="F3">
        <v>8</v>
      </c>
      <c r="G3">
        <v>4</v>
      </c>
      <c r="H3">
        <v>26</v>
      </c>
      <c r="I3">
        <v>3</v>
      </c>
      <c r="J3">
        <v>173</v>
      </c>
      <c r="K3">
        <v>7</v>
      </c>
      <c r="L3">
        <v>1</v>
      </c>
      <c r="M3">
        <v>13</v>
      </c>
      <c r="N3">
        <v>1</v>
      </c>
      <c r="O3">
        <v>55</v>
      </c>
      <c r="P3">
        <v>370</v>
      </c>
    </row>
    <row r="4" spans="1:16" x14ac:dyDescent="0.3">
      <c r="A4" t="s">
        <v>1426</v>
      </c>
      <c r="B4">
        <v>1</v>
      </c>
      <c r="C4">
        <v>22</v>
      </c>
      <c r="D4">
        <v>35</v>
      </c>
      <c r="E4">
        <v>1</v>
      </c>
      <c r="F4">
        <v>1</v>
      </c>
      <c r="G4">
        <v>2</v>
      </c>
      <c r="H4">
        <v>23</v>
      </c>
      <c r="I4">
        <v>3</v>
      </c>
      <c r="J4">
        <v>73</v>
      </c>
      <c r="K4">
        <v>7</v>
      </c>
      <c r="L4">
        <v>0</v>
      </c>
      <c r="M4">
        <v>10</v>
      </c>
      <c r="N4">
        <v>0</v>
      </c>
      <c r="O4">
        <v>49</v>
      </c>
      <c r="P4">
        <v>227</v>
      </c>
    </row>
    <row r="5" spans="1:16" x14ac:dyDescent="0.3">
      <c r="A5" t="s">
        <v>1424</v>
      </c>
      <c r="B5">
        <v>1</v>
      </c>
      <c r="C5">
        <v>22</v>
      </c>
      <c r="D5">
        <v>35</v>
      </c>
      <c r="E5">
        <v>1</v>
      </c>
      <c r="F5">
        <v>1</v>
      </c>
      <c r="G5">
        <v>2</v>
      </c>
      <c r="H5">
        <v>23</v>
      </c>
      <c r="I5">
        <v>3</v>
      </c>
      <c r="J5">
        <v>71</v>
      </c>
      <c r="K5">
        <v>7</v>
      </c>
      <c r="L5">
        <v>0</v>
      </c>
      <c r="M5">
        <v>10</v>
      </c>
      <c r="N5">
        <v>0</v>
      </c>
      <c r="O5">
        <v>49</v>
      </c>
      <c r="P5">
        <v>225</v>
      </c>
    </row>
    <row r="6" spans="1:16" x14ac:dyDescent="0.3">
      <c r="A6" t="s">
        <v>1430</v>
      </c>
      <c r="B6">
        <v>0</v>
      </c>
      <c r="C6">
        <v>22</v>
      </c>
      <c r="D6">
        <v>35</v>
      </c>
      <c r="E6">
        <v>0</v>
      </c>
      <c r="F6">
        <v>4</v>
      </c>
      <c r="G6">
        <v>4</v>
      </c>
      <c r="H6">
        <v>21</v>
      </c>
      <c r="I6">
        <v>3</v>
      </c>
      <c r="J6">
        <v>60</v>
      </c>
      <c r="K6">
        <v>7</v>
      </c>
      <c r="L6">
        <v>0</v>
      </c>
      <c r="M6">
        <v>9</v>
      </c>
      <c r="N6">
        <v>0</v>
      </c>
      <c r="O6">
        <v>49</v>
      </c>
      <c r="P6">
        <v>215</v>
      </c>
    </row>
    <row r="7" spans="1:16" x14ac:dyDescent="0.3">
      <c r="A7" t="s">
        <v>1434</v>
      </c>
      <c r="B7">
        <v>1</v>
      </c>
      <c r="C7">
        <v>22</v>
      </c>
      <c r="D7">
        <v>29</v>
      </c>
      <c r="E7">
        <v>0</v>
      </c>
      <c r="F7">
        <v>7</v>
      </c>
      <c r="G7">
        <v>4</v>
      </c>
      <c r="H7">
        <v>15</v>
      </c>
      <c r="I7">
        <v>1</v>
      </c>
      <c r="J7">
        <v>102</v>
      </c>
      <c r="K7">
        <v>7</v>
      </c>
      <c r="L7">
        <v>1</v>
      </c>
      <c r="M7">
        <v>12</v>
      </c>
      <c r="N7">
        <v>0</v>
      </c>
      <c r="O7">
        <v>6</v>
      </c>
      <c r="P7">
        <v>207</v>
      </c>
    </row>
    <row r="8" spans="1:16" x14ac:dyDescent="0.3">
      <c r="A8" t="s">
        <v>1437</v>
      </c>
      <c r="B8">
        <v>1</v>
      </c>
      <c r="C8">
        <v>21</v>
      </c>
      <c r="D8">
        <v>25</v>
      </c>
      <c r="E8">
        <v>0</v>
      </c>
      <c r="F8">
        <v>5</v>
      </c>
      <c r="G8">
        <v>2</v>
      </c>
      <c r="H8">
        <v>8</v>
      </c>
      <c r="I8">
        <v>2</v>
      </c>
      <c r="J8">
        <v>52</v>
      </c>
      <c r="K8">
        <v>6</v>
      </c>
      <c r="L8">
        <v>1</v>
      </c>
      <c r="M8">
        <v>10</v>
      </c>
      <c r="N8">
        <v>0</v>
      </c>
      <c r="O8">
        <v>55</v>
      </c>
      <c r="P8">
        <v>188</v>
      </c>
    </row>
    <row r="9" spans="1:16" x14ac:dyDescent="0.3">
      <c r="A9" t="s">
        <v>1438</v>
      </c>
      <c r="B9">
        <v>1</v>
      </c>
      <c r="C9">
        <v>21</v>
      </c>
      <c r="D9">
        <v>24</v>
      </c>
      <c r="E9">
        <v>0</v>
      </c>
      <c r="F9">
        <v>5</v>
      </c>
      <c r="G9">
        <v>2</v>
      </c>
      <c r="H9">
        <v>8</v>
      </c>
      <c r="I9">
        <v>2</v>
      </c>
      <c r="J9">
        <v>51</v>
      </c>
      <c r="K9">
        <v>6</v>
      </c>
      <c r="L9">
        <v>1</v>
      </c>
      <c r="M9">
        <v>10</v>
      </c>
      <c r="N9">
        <v>0</v>
      </c>
      <c r="O9">
        <v>54</v>
      </c>
      <c r="P9">
        <v>185</v>
      </c>
    </row>
    <row r="10" spans="1:16" x14ac:dyDescent="0.3">
      <c r="A10" t="s">
        <v>1433</v>
      </c>
      <c r="B10">
        <v>0</v>
      </c>
      <c r="C10">
        <v>21</v>
      </c>
      <c r="D10">
        <v>32</v>
      </c>
      <c r="E10">
        <v>0</v>
      </c>
      <c r="F10">
        <v>3</v>
      </c>
      <c r="G10">
        <v>2</v>
      </c>
      <c r="H10">
        <v>11</v>
      </c>
      <c r="I10">
        <v>2</v>
      </c>
      <c r="J10">
        <v>43</v>
      </c>
      <c r="K10">
        <v>1</v>
      </c>
      <c r="L10">
        <v>1</v>
      </c>
      <c r="M10">
        <v>9</v>
      </c>
      <c r="N10">
        <v>0</v>
      </c>
      <c r="O10">
        <v>49</v>
      </c>
      <c r="P10">
        <v>174</v>
      </c>
    </row>
    <row r="11" spans="1:16" x14ac:dyDescent="0.3">
      <c r="A11" t="s">
        <v>1435</v>
      </c>
      <c r="B11">
        <v>0</v>
      </c>
      <c r="C11">
        <v>22</v>
      </c>
      <c r="D11">
        <v>28</v>
      </c>
      <c r="E11">
        <v>6</v>
      </c>
      <c r="F11">
        <v>1</v>
      </c>
      <c r="G11">
        <v>1</v>
      </c>
      <c r="H11">
        <v>13</v>
      </c>
      <c r="I11">
        <v>2</v>
      </c>
      <c r="J11">
        <v>57</v>
      </c>
      <c r="K11">
        <v>7</v>
      </c>
      <c r="L11">
        <v>0</v>
      </c>
      <c r="M11">
        <v>10</v>
      </c>
      <c r="N11">
        <v>0</v>
      </c>
      <c r="O11">
        <v>4</v>
      </c>
      <c r="P11">
        <v>152</v>
      </c>
    </row>
    <row r="12" spans="1:16" x14ac:dyDescent="0.3">
      <c r="A12" t="s">
        <v>1436</v>
      </c>
      <c r="B12">
        <v>0</v>
      </c>
      <c r="C12">
        <v>22</v>
      </c>
      <c r="D12">
        <v>28</v>
      </c>
      <c r="E12">
        <v>6</v>
      </c>
      <c r="F12">
        <v>1</v>
      </c>
      <c r="G12">
        <v>2</v>
      </c>
      <c r="H12">
        <v>13</v>
      </c>
      <c r="I12">
        <v>2</v>
      </c>
      <c r="J12">
        <v>53</v>
      </c>
      <c r="K12">
        <v>7</v>
      </c>
      <c r="L12">
        <v>0</v>
      </c>
      <c r="M12">
        <v>6</v>
      </c>
      <c r="N12">
        <v>0</v>
      </c>
      <c r="O12">
        <v>4</v>
      </c>
      <c r="P12">
        <v>145</v>
      </c>
    </row>
    <row r="13" spans="1:16" x14ac:dyDescent="0.3">
      <c r="A13" t="s">
        <v>1429</v>
      </c>
      <c r="B13">
        <v>1</v>
      </c>
      <c r="C13">
        <v>22</v>
      </c>
      <c r="D13">
        <v>21</v>
      </c>
      <c r="E13">
        <v>0</v>
      </c>
      <c r="F13">
        <v>5</v>
      </c>
      <c r="G13">
        <v>0</v>
      </c>
      <c r="H13">
        <v>4</v>
      </c>
      <c r="I13">
        <v>0</v>
      </c>
      <c r="J13">
        <v>52</v>
      </c>
      <c r="K13">
        <v>7</v>
      </c>
      <c r="L13">
        <v>1</v>
      </c>
      <c r="M13">
        <v>7</v>
      </c>
      <c r="N13">
        <v>0</v>
      </c>
      <c r="O13">
        <v>6</v>
      </c>
      <c r="P13">
        <v>126</v>
      </c>
    </row>
    <row r="14" spans="1:16" x14ac:dyDescent="0.3">
      <c r="A14" t="s">
        <v>1439</v>
      </c>
      <c r="B14">
        <v>1</v>
      </c>
      <c r="C14">
        <v>22</v>
      </c>
      <c r="D14">
        <v>21</v>
      </c>
      <c r="E14">
        <v>0</v>
      </c>
      <c r="F14">
        <v>5</v>
      </c>
      <c r="G14">
        <v>0</v>
      </c>
      <c r="H14">
        <v>4</v>
      </c>
      <c r="I14">
        <v>0</v>
      </c>
      <c r="J14">
        <v>52</v>
      </c>
      <c r="K14">
        <v>7</v>
      </c>
      <c r="L14">
        <v>1</v>
      </c>
      <c r="M14">
        <v>7</v>
      </c>
      <c r="N14">
        <v>0</v>
      </c>
      <c r="O14">
        <v>6</v>
      </c>
      <c r="P14">
        <v>126</v>
      </c>
    </row>
    <row r="15" spans="1:16" x14ac:dyDescent="0.3">
      <c r="A15" t="s">
        <v>1427</v>
      </c>
      <c r="B15">
        <v>0</v>
      </c>
      <c r="C15">
        <v>21</v>
      </c>
      <c r="D15">
        <v>18</v>
      </c>
      <c r="E15">
        <v>0</v>
      </c>
      <c r="F15">
        <v>0</v>
      </c>
      <c r="G15">
        <v>2</v>
      </c>
      <c r="H15">
        <v>3</v>
      </c>
      <c r="I15">
        <v>2</v>
      </c>
      <c r="J15">
        <v>14</v>
      </c>
      <c r="K15">
        <v>6</v>
      </c>
      <c r="L15">
        <v>0</v>
      </c>
      <c r="M15">
        <v>7</v>
      </c>
      <c r="N15">
        <v>0</v>
      </c>
      <c r="O15">
        <v>49</v>
      </c>
      <c r="P15">
        <v>122</v>
      </c>
    </row>
    <row r="16" spans="1:16" x14ac:dyDescent="0.3">
      <c r="A16" t="s">
        <v>1425</v>
      </c>
      <c r="B16">
        <v>0</v>
      </c>
      <c r="C16">
        <v>15</v>
      </c>
      <c r="D16">
        <v>26</v>
      </c>
      <c r="E16">
        <v>5</v>
      </c>
      <c r="F16">
        <v>0</v>
      </c>
      <c r="G16">
        <v>1</v>
      </c>
      <c r="H16">
        <v>9</v>
      </c>
      <c r="I16">
        <v>2</v>
      </c>
      <c r="J16">
        <v>46</v>
      </c>
      <c r="K16">
        <v>7</v>
      </c>
      <c r="L16">
        <v>0</v>
      </c>
      <c r="M16">
        <v>9</v>
      </c>
      <c r="N16">
        <v>0</v>
      </c>
      <c r="O16">
        <v>0</v>
      </c>
      <c r="P16">
        <v>120</v>
      </c>
    </row>
    <row r="17" spans="1:16" x14ac:dyDescent="0.3">
      <c r="A17" t="s">
        <v>1421</v>
      </c>
      <c r="B17">
        <v>0</v>
      </c>
      <c r="C17">
        <v>22</v>
      </c>
      <c r="D17">
        <v>24</v>
      </c>
      <c r="E17">
        <v>5</v>
      </c>
      <c r="F17">
        <v>0</v>
      </c>
      <c r="G17">
        <v>1</v>
      </c>
      <c r="H17">
        <v>1</v>
      </c>
      <c r="I17">
        <v>3</v>
      </c>
      <c r="J17">
        <v>39</v>
      </c>
      <c r="K17">
        <v>7</v>
      </c>
      <c r="L17">
        <v>0</v>
      </c>
      <c r="M17">
        <v>9</v>
      </c>
      <c r="N17">
        <v>0</v>
      </c>
      <c r="O17">
        <v>0</v>
      </c>
      <c r="P17">
        <v>112</v>
      </c>
    </row>
    <row r="18" spans="1:16" x14ac:dyDescent="0.3">
      <c r="A18" t="s">
        <v>1431</v>
      </c>
      <c r="B18">
        <v>0</v>
      </c>
      <c r="C18">
        <v>0</v>
      </c>
      <c r="D18">
        <v>18</v>
      </c>
      <c r="E18">
        <v>0</v>
      </c>
      <c r="F18">
        <v>0</v>
      </c>
      <c r="G18">
        <v>1</v>
      </c>
      <c r="H18">
        <v>8</v>
      </c>
      <c r="I18">
        <v>2</v>
      </c>
      <c r="J18">
        <v>20</v>
      </c>
      <c r="K18">
        <v>6</v>
      </c>
      <c r="L18">
        <v>0</v>
      </c>
      <c r="M18">
        <v>1</v>
      </c>
      <c r="N18">
        <v>0</v>
      </c>
      <c r="O18">
        <v>49</v>
      </c>
      <c r="P18">
        <v>105</v>
      </c>
    </row>
    <row r="19" spans="1:16" x14ac:dyDescent="0.3">
      <c r="A19" t="s">
        <v>1422</v>
      </c>
      <c r="B19">
        <v>1</v>
      </c>
      <c r="C19">
        <v>0</v>
      </c>
      <c r="D19">
        <v>17</v>
      </c>
      <c r="E19">
        <v>1</v>
      </c>
      <c r="F19">
        <v>2</v>
      </c>
      <c r="G19">
        <v>0</v>
      </c>
      <c r="H19">
        <v>16</v>
      </c>
      <c r="I19">
        <v>1</v>
      </c>
      <c r="J19">
        <v>51</v>
      </c>
      <c r="K19">
        <v>0</v>
      </c>
      <c r="L19">
        <v>1</v>
      </c>
      <c r="M19">
        <v>5</v>
      </c>
      <c r="N19">
        <v>0</v>
      </c>
      <c r="O19">
        <v>7</v>
      </c>
      <c r="P19">
        <v>102</v>
      </c>
    </row>
    <row r="20" spans="1:16" x14ac:dyDescent="0.3">
      <c r="A20" t="s">
        <v>1420</v>
      </c>
      <c r="B20">
        <v>0</v>
      </c>
      <c r="C20">
        <v>22</v>
      </c>
      <c r="D20">
        <v>14</v>
      </c>
      <c r="E20">
        <v>5</v>
      </c>
      <c r="F20">
        <v>0</v>
      </c>
      <c r="G20">
        <v>1</v>
      </c>
      <c r="H20">
        <v>1</v>
      </c>
      <c r="I20">
        <v>0</v>
      </c>
      <c r="J20">
        <v>39</v>
      </c>
      <c r="K20">
        <v>1</v>
      </c>
      <c r="L20">
        <v>0</v>
      </c>
      <c r="M20">
        <v>9</v>
      </c>
      <c r="N20">
        <v>0</v>
      </c>
      <c r="O20">
        <v>0</v>
      </c>
      <c r="P20">
        <v>93</v>
      </c>
    </row>
    <row r="21" spans="1:16" x14ac:dyDescent="0.3">
      <c r="A21" t="s">
        <v>1432</v>
      </c>
      <c r="B21">
        <v>0</v>
      </c>
      <c r="C21">
        <v>22</v>
      </c>
      <c r="D21">
        <v>15</v>
      </c>
      <c r="E21">
        <v>5</v>
      </c>
      <c r="F21">
        <v>0</v>
      </c>
      <c r="G21">
        <v>2</v>
      </c>
      <c r="H21">
        <v>4</v>
      </c>
      <c r="I21">
        <v>0</v>
      </c>
      <c r="J21">
        <v>19</v>
      </c>
      <c r="K21">
        <v>1</v>
      </c>
      <c r="L21">
        <v>0</v>
      </c>
      <c r="M21">
        <v>8</v>
      </c>
      <c r="N21">
        <v>0</v>
      </c>
      <c r="O21">
        <v>0</v>
      </c>
      <c r="P21">
        <v>77</v>
      </c>
    </row>
    <row r="22" spans="1:16" x14ac:dyDescent="0.3">
      <c r="A22" t="s">
        <v>1428</v>
      </c>
      <c r="B22">
        <v>0</v>
      </c>
      <c r="C22">
        <v>23</v>
      </c>
      <c r="D22">
        <v>5</v>
      </c>
      <c r="E22">
        <v>5</v>
      </c>
      <c r="F22">
        <v>0</v>
      </c>
      <c r="G22">
        <v>1</v>
      </c>
      <c r="H22">
        <v>1</v>
      </c>
      <c r="I22">
        <v>0</v>
      </c>
      <c r="J22">
        <v>28</v>
      </c>
      <c r="K22">
        <v>0</v>
      </c>
      <c r="L22">
        <v>0</v>
      </c>
      <c r="M22">
        <v>10</v>
      </c>
      <c r="N22">
        <v>0</v>
      </c>
      <c r="O22">
        <v>1</v>
      </c>
      <c r="P22">
        <v>74</v>
      </c>
    </row>
    <row r="37" spans="1:8" ht="15" thickBot="1" x14ac:dyDescent="0.35"/>
    <row r="38" spans="1:8" ht="28.2" thickBot="1" x14ac:dyDescent="0.35">
      <c r="A38" s="18" t="s">
        <v>1453</v>
      </c>
      <c r="B38" s="18" t="s">
        <v>197</v>
      </c>
      <c r="C38" s="18" t="s">
        <v>1076</v>
      </c>
      <c r="D38" s="18" t="s">
        <v>476</v>
      </c>
      <c r="E38" s="18" t="s">
        <v>1454</v>
      </c>
      <c r="F38" s="18" t="s">
        <v>622</v>
      </c>
      <c r="G38" s="18" t="s">
        <v>1455</v>
      </c>
      <c r="H38" s="18" t="s">
        <v>1456</v>
      </c>
    </row>
    <row r="39" spans="1:8" ht="28.2" thickBot="1" x14ac:dyDescent="0.35">
      <c r="A39" s="18" t="s">
        <v>1452</v>
      </c>
      <c r="B39" s="19">
        <v>174</v>
      </c>
      <c r="C39" s="19">
        <v>55</v>
      </c>
      <c r="D39" s="19">
        <v>44</v>
      </c>
      <c r="E39" s="19">
        <v>28</v>
      </c>
      <c r="F39" s="19">
        <v>26</v>
      </c>
      <c r="G39" s="19">
        <v>45</v>
      </c>
      <c r="H39" s="18">
        <v>372</v>
      </c>
    </row>
    <row r="40" spans="1:8" ht="15" thickBot="1" x14ac:dyDescent="0.35">
      <c r="A40" s="20" t="s">
        <v>33</v>
      </c>
      <c r="B40" s="19">
        <v>173</v>
      </c>
      <c r="C40" s="19">
        <v>55</v>
      </c>
      <c r="D40" s="19">
        <v>43</v>
      </c>
      <c r="E40" s="19">
        <v>28</v>
      </c>
      <c r="F40" s="19">
        <v>26</v>
      </c>
      <c r="G40" s="19">
        <v>45</v>
      </c>
      <c r="H40" s="18">
        <v>370</v>
      </c>
    </row>
    <row r="41" spans="1:8" ht="15" thickBot="1" x14ac:dyDescent="0.35">
      <c r="A41" s="20" t="s">
        <v>40</v>
      </c>
      <c r="B41" s="19">
        <v>73</v>
      </c>
      <c r="C41" s="19">
        <v>49</v>
      </c>
      <c r="D41" s="19">
        <v>35</v>
      </c>
      <c r="E41" s="19">
        <v>22</v>
      </c>
      <c r="F41" s="19">
        <v>23</v>
      </c>
      <c r="G41" s="19">
        <v>25</v>
      </c>
      <c r="H41" s="18">
        <v>227</v>
      </c>
    </row>
    <row r="42" spans="1:8" ht="15" thickBot="1" x14ac:dyDescent="0.35">
      <c r="A42" s="20" t="s">
        <v>34</v>
      </c>
      <c r="B42" s="19">
        <v>71</v>
      </c>
      <c r="C42" s="19">
        <v>49</v>
      </c>
      <c r="D42" s="19">
        <v>35</v>
      </c>
      <c r="E42" s="19">
        <v>22</v>
      </c>
      <c r="F42" s="19">
        <v>23</v>
      </c>
      <c r="G42" s="19">
        <v>25</v>
      </c>
      <c r="H42" s="18">
        <v>225</v>
      </c>
    </row>
    <row r="43" spans="1:8" ht="15" thickBot="1" x14ac:dyDescent="0.35">
      <c r="A43" s="20" t="s">
        <v>103</v>
      </c>
      <c r="B43" s="19">
        <v>60</v>
      </c>
      <c r="C43" s="19">
        <v>49</v>
      </c>
      <c r="D43" s="19">
        <v>35</v>
      </c>
      <c r="E43" s="19">
        <v>22</v>
      </c>
      <c r="F43" s="19">
        <v>21</v>
      </c>
      <c r="G43" s="19">
        <v>28</v>
      </c>
      <c r="H43" s="18">
        <v>215</v>
      </c>
    </row>
    <row r="44" spans="1:8" ht="15" thickBot="1" x14ac:dyDescent="0.35">
      <c r="A44" s="20" t="s">
        <v>156</v>
      </c>
      <c r="B44" s="19">
        <v>102</v>
      </c>
      <c r="C44" s="19">
        <v>6</v>
      </c>
      <c r="D44" s="19">
        <v>29</v>
      </c>
      <c r="E44" s="19">
        <v>22</v>
      </c>
      <c r="F44" s="19">
        <v>15</v>
      </c>
      <c r="G44" s="19">
        <v>33</v>
      </c>
      <c r="H44" s="18">
        <v>207</v>
      </c>
    </row>
    <row r="45" spans="1:8" ht="15" thickBot="1" x14ac:dyDescent="0.35">
      <c r="A45" s="20" t="s">
        <v>151</v>
      </c>
      <c r="B45" s="19">
        <v>52</v>
      </c>
      <c r="C45" s="19">
        <v>55</v>
      </c>
      <c r="D45" s="19">
        <v>25</v>
      </c>
      <c r="E45" s="19">
        <v>21</v>
      </c>
      <c r="F45" s="19">
        <v>8</v>
      </c>
      <c r="G45" s="19">
        <v>27</v>
      </c>
      <c r="H45" s="18">
        <v>188</v>
      </c>
    </row>
    <row r="46" spans="1:8" ht="15" thickBot="1" x14ac:dyDescent="0.35">
      <c r="A46" s="20" t="s">
        <v>150</v>
      </c>
      <c r="B46" s="19">
        <v>51</v>
      </c>
      <c r="C46" s="19">
        <v>54</v>
      </c>
      <c r="D46" s="19">
        <v>24</v>
      </c>
      <c r="E46" s="19">
        <v>21</v>
      </c>
      <c r="F46" s="19">
        <v>8</v>
      </c>
      <c r="G46" s="19">
        <v>27</v>
      </c>
      <c r="H46" s="18">
        <v>185</v>
      </c>
    </row>
    <row r="47" spans="1:8" ht="15" thickBot="1" x14ac:dyDescent="0.35">
      <c r="A47" s="20" t="s">
        <v>159</v>
      </c>
      <c r="B47" s="19">
        <v>43</v>
      </c>
      <c r="C47" s="19">
        <v>49</v>
      </c>
      <c r="D47" s="19">
        <v>32</v>
      </c>
      <c r="E47" s="19">
        <v>21</v>
      </c>
      <c r="F47" s="19">
        <v>11</v>
      </c>
      <c r="G47" s="19">
        <v>18</v>
      </c>
      <c r="H47" s="18">
        <v>174</v>
      </c>
    </row>
    <row r="48" spans="1:8" ht="15" thickBot="1" x14ac:dyDescent="0.35">
      <c r="A48" s="20" t="s">
        <v>155</v>
      </c>
      <c r="B48" s="19">
        <v>57</v>
      </c>
      <c r="C48" s="19">
        <v>4</v>
      </c>
      <c r="D48" s="19">
        <v>28</v>
      </c>
      <c r="E48" s="19">
        <v>22</v>
      </c>
      <c r="F48" s="19">
        <v>13</v>
      </c>
      <c r="G48" s="19">
        <v>28</v>
      </c>
      <c r="H48" s="18">
        <v>152</v>
      </c>
    </row>
    <row r="49" spans="1:8" ht="15" thickBot="1" x14ac:dyDescent="0.35">
      <c r="A49" s="20" t="s">
        <v>1457</v>
      </c>
      <c r="B49" s="19">
        <v>53</v>
      </c>
      <c r="C49" s="19">
        <v>4</v>
      </c>
      <c r="D49" s="19">
        <v>28</v>
      </c>
      <c r="E49" s="19">
        <v>22</v>
      </c>
      <c r="F49" s="19">
        <v>13</v>
      </c>
      <c r="G49" s="19">
        <v>25</v>
      </c>
      <c r="H49" s="18">
        <v>145</v>
      </c>
    </row>
    <row r="50" spans="1:8" ht="15" thickBot="1" x14ac:dyDescent="0.35">
      <c r="A50" s="20" t="s">
        <v>92</v>
      </c>
      <c r="B50" s="19">
        <v>52</v>
      </c>
      <c r="C50" s="19">
        <v>6</v>
      </c>
      <c r="D50" s="19">
        <v>21</v>
      </c>
      <c r="E50" s="19">
        <v>22</v>
      </c>
      <c r="F50" s="19">
        <v>4</v>
      </c>
      <c r="G50" s="19">
        <v>21</v>
      </c>
      <c r="H50" s="18">
        <v>126</v>
      </c>
    </row>
    <row r="51" spans="1:8" ht="15" thickBot="1" x14ac:dyDescent="0.35">
      <c r="A51" s="20" t="s">
        <v>134</v>
      </c>
      <c r="B51" s="19">
        <v>52</v>
      </c>
      <c r="C51" s="19">
        <v>6</v>
      </c>
      <c r="D51" s="19">
        <v>21</v>
      </c>
      <c r="E51" s="19">
        <v>22</v>
      </c>
      <c r="F51" s="19">
        <v>4</v>
      </c>
      <c r="G51" s="19">
        <v>21</v>
      </c>
      <c r="H51" s="18">
        <v>126</v>
      </c>
    </row>
    <row r="52" spans="1:8" ht="15" thickBot="1" x14ac:dyDescent="0.35">
      <c r="A52" s="20" t="s">
        <v>41</v>
      </c>
      <c r="B52" s="19">
        <v>14</v>
      </c>
      <c r="C52" s="19">
        <v>49</v>
      </c>
      <c r="D52" s="19">
        <v>18</v>
      </c>
      <c r="E52" s="19">
        <v>21</v>
      </c>
      <c r="F52" s="19">
        <v>3</v>
      </c>
      <c r="G52" s="19">
        <v>17</v>
      </c>
      <c r="H52" s="18">
        <v>122</v>
      </c>
    </row>
    <row r="53" spans="1:8" ht="15" thickBot="1" x14ac:dyDescent="0.35">
      <c r="A53" s="20" t="s">
        <v>35</v>
      </c>
      <c r="B53" s="19">
        <v>46</v>
      </c>
      <c r="C53" s="19">
        <v>0</v>
      </c>
      <c r="D53" s="19">
        <v>26</v>
      </c>
      <c r="E53" s="19">
        <v>15</v>
      </c>
      <c r="F53" s="19">
        <v>9</v>
      </c>
      <c r="G53" s="19">
        <v>24</v>
      </c>
      <c r="H53" s="18">
        <v>120</v>
      </c>
    </row>
    <row r="54" spans="1:8" ht="15" thickBot="1" x14ac:dyDescent="0.35">
      <c r="A54" s="20" t="s">
        <v>30</v>
      </c>
      <c r="B54" s="19">
        <v>39</v>
      </c>
      <c r="C54" s="19">
        <v>0</v>
      </c>
      <c r="D54" s="19">
        <v>24</v>
      </c>
      <c r="E54" s="19">
        <v>22</v>
      </c>
      <c r="F54" s="19">
        <v>1</v>
      </c>
      <c r="G54" s="19">
        <v>26</v>
      </c>
      <c r="H54" s="18">
        <v>112</v>
      </c>
    </row>
    <row r="55" spans="1:8" ht="15" thickBot="1" x14ac:dyDescent="0.35">
      <c r="A55" s="20" t="s">
        <v>115</v>
      </c>
      <c r="B55" s="19">
        <v>20</v>
      </c>
      <c r="C55" s="19">
        <v>49</v>
      </c>
      <c r="D55" s="19">
        <v>18</v>
      </c>
      <c r="E55" s="19">
        <v>0</v>
      </c>
      <c r="F55" s="19">
        <v>8</v>
      </c>
      <c r="G55" s="19">
        <v>10</v>
      </c>
      <c r="H55" s="18">
        <v>105</v>
      </c>
    </row>
    <row r="56" spans="1:8" ht="15" thickBot="1" x14ac:dyDescent="0.35">
      <c r="A56" s="20" t="s">
        <v>32</v>
      </c>
      <c r="B56" s="19">
        <v>51</v>
      </c>
      <c r="C56" s="19">
        <v>7</v>
      </c>
      <c r="D56" s="19">
        <v>17</v>
      </c>
      <c r="E56" s="19">
        <v>0</v>
      </c>
      <c r="F56" s="19">
        <v>16</v>
      </c>
      <c r="G56" s="19">
        <v>11</v>
      </c>
      <c r="H56" s="18">
        <v>102</v>
      </c>
    </row>
    <row r="57" spans="1:8" ht="15" thickBot="1" x14ac:dyDescent="0.35">
      <c r="A57" s="20" t="s">
        <v>24</v>
      </c>
      <c r="B57" s="19">
        <v>39</v>
      </c>
      <c r="C57" s="19">
        <v>0</v>
      </c>
      <c r="D57" s="19">
        <v>14</v>
      </c>
      <c r="E57" s="19">
        <v>22</v>
      </c>
      <c r="F57" s="19">
        <v>1</v>
      </c>
      <c r="G57" s="19">
        <v>17</v>
      </c>
      <c r="H57" s="18">
        <v>93</v>
      </c>
    </row>
    <row r="58" spans="1:8" ht="15" thickBot="1" x14ac:dyDescent="0.35">
      <c r="A58" s="20" t="s">
        <v>118</v>
      </c>
      <c r="B58" s="19">
        <v>19</v>
      </c>
      <c r="C58" s="19">
        <v>0</v>
      </c>
      <c r="D58" s="19">
        <v>15</v>
      </c>
      <c r="E58" s="19">
        <v>22</v>
      </c>
      <c r="F58" s="19">
        <v>4</v>
      </c>
      <c r="G58" s="19">
        <v>17</v>
      </c>
      <c r="H58" s="18">
        <v>77</v>
      </c>
    </row>
    <row r="59" spans="1:8" ht="15" thickBot="1" x14ac:dyDescent="0.35">
      <c r="A59" s="20" t="s">
        <v>44</v>
      </c>
      <c r="B59" s="19">
        <v>28</v>
      </c>
      <c r="C59" s="19">
        <v>1</v>
      </c>
      <c r="D59" s="19">
        <v>5</v>
      </c>
      <c r="E59" s="19">
        <v>23</v>
      </c>
      <c r="F59" s="19">
        <v>1</v>
      </c>
      <c r="G59" s="19">
        <v>17</v>
      </c>
      <c r="H59" s="18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218D-8B33-4436-83E2-E02879DF8563}">
  <dimension ref="A1:K17"/>
  <sheetViews>
    <sheetView workbookViewId="0">
      <selection activeCell="E17" sqref="E17"/>
    </sheetView>
  </sheetViews>
  <sheetFormatPr defaultRowHeight="14.4" x14ac:dyDescent="0.3"/>
  <cols>
    <col min="53" max="54" width="8.88671875" customWidth="1"/>
  </cols>
  <sheetData>
    <row r="1" spans="1:11" x14ac:dyDescent="0.3">
      <c r="A1" t="s">
        <v>1450</v>
      </c>
      <c r="B1" t="s">
        <v>1443</v>
      </c>
      <c r="C1" t="s">
        <v>1423</v>
      </c>
      <c r="D1" t="s">
        <v>1430</v>
      </c>
      <c r="E1" t="s">
        <v>1434</v>
      </c>
      <c r="F1" t="s">
        <v>1437</v>
      </c>
      <c r="G1" t="s">
        <v>1433</v>
      </c>
      <c r="H1" t="s">
        <v>1429</v>
      </c>
      <c r="I1" t="s">
        <v>1427</v>
      </c>
      <c r="J1" t="s">
        <v>1431</v>
      </c>
      <c r="K1" t="s">
        <v>1428</v>
      </c>
    </row>
    <row r="2" spans="1:11" x14ac:dyDescent="0.3">
      <c r="A2" t="s">
        <v>894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</row>
    <row r="3" spans="1:11" x14ac:dyDescent="0.3">
      <c r="A3" t="s">
        <v>1200</v>
      </c>
      <c r="B3">
        <v>28</v>
      </c>
      <c r="C3">
        <v>28</v>
      </c>
      <c r="D3">
        <v>22</v>
      </c>
      <c r="E3">
        <v>22</v>
      </c>
      <c r="F3">
        <v>21</v>
      </c>
      <c r="G3">
        <v>21</v>
      </c>
      <c r="H3">
        <v>22</v>
      </c>
      <c r="I3">
        <v>21</v>
      </c>
      <c r="J3">
        <v>0</v>
      </c>
      <c r="K3">
        <v>23</v>
      </c>
    </row>
    <row r="4" spans="1:11" x14ac:dyDescent="0.3">
      <c r="A4" t="s">
        <v>476</v>
      </c>
      <c r="B4">
        <v>44</v>
      </c>
      <c r="C4">
        <v>43</v>
      </c>
      <c r="D4">
        <v>35</v>
      </c>
      <c r="E4">
        <v>29</v>
      </c>
      <c r="F4">
        <v>25</v>
      </c>
      <c r="G4">
        <v>32</v>
      </c>
      <c r="H4">
        <v>21</v>
      </c>
      <c r="I4">
        <v>18</v>
      </c>
      <c r="J4">
        <v>18</v>
      </c>
      <c r="K4">
        <v>5</v>
      </c>
    </row>
    <row r="5" spans="1:11" x14ac:dyDescent="0.3">
      <c r="A5" t="s">
        <v>574</v>
      </c>
      <c r="B5">
        <v>6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</row>
    <row r="6" spans="1:11" x14ac:dyDescent="0.3">
      <c r="A6" t="s">
        <v>869</v>
      </c>
      <c r="B6">
        <v>8</v>
      </c>
      <c r="C6">
        <v>8</v>
      </c>
      <c r="D6">
        <v>4</v>
      </c>
      <c r="E6">
        <v>7</v>
      </c>
      <c r="F6">
        <v>5</v>
      </c>
      <c r="G6">
        <v>3</v>
      </c>
      <c r="H6">
        <v>5</v>
      </c>
      <c r="I6">
        <v>0</v>
      </c>
      <c r="J6">
        <v>0</v>
      </c>
      <c r="K6">
        <v>0</v>
      </c>
    </row>
    <row r="7" spans="1:11" x14ac:dyDescent="0.3">
      <c r="A7" t="s">
        <v>1051</v>
      </c>
      <c r="B7">
        <v>4</v>
      </c>
      <c r="C7">
        <v>4</v>
      </c>
      <c r="D7">
        <v>4</v>
      </c>
      <c r="E7">
        <v>4</v>
      </c>
      <c r="F7">
        <v>2</v>
      </c>
      <c r="G7">
        <v>2</v>
      </c>
      <c r="H7">
        <v>0</v>
      </c>
      <c r="I7">
        <v>2</v>
      </c>
      <c r="J7">
        <v>1</v>
      </c>
      <c r="K7">
        <v>1</v>
      </c>
    </row>
    <row r="8" spans="1:11" x14ac:dyDescent="0.3">
      <c r="A8" t="s">
        <v>622</v>
      </c>
      <c r="B8">
        <v>26</v>
      </c>
      <c r="C8">
        <v>26</v>
      </c>
      <c r="D8">
        <v>21</v>
      </c>
      <c r="E8">
        <v>15</v>
      </c>
      <c r="F8">
        <v>8</v>
      </c>
      <c r="G8">
        <v>11</v>
      </c>
      <c r="H8">
        <v>4</v>
      </c>
      <c r="I8">
        <v>3</v>
      </c>
      <c r="J8">
        <v>8</v>
      </c>
      <c r="K8">
        <v>1</v>
      </c>
    </row>
    <row r="9" spans="1:11" x14ac:dyDescent="0.3">
      <c r="A9" t="s">
        <v>463</v>
      </c>
      <c r="B9">
        <v>3</v>
      </c>
      <c r="C9">
        <v>3</v>
      </c>
      <c r="D9">
        <v>3</v>
      </c>
      <c r="E9">
        <v>1</v>
      </c>
      <c r="F9">
        <v>2</v>
      </c>
      <c r="G9">
        <v>2</v>
      </c>
      <c r="H9">
        <v>0</v>
      </c>
      <c r="I9">
        <v>2</v>
      </c>
      <c r="J9">
        <v>2</v>
      </c>
      <c r="K9">
        <v>0</v>
      </c>
    </row>
    <row r="10" spans="1:11" x14ac:dyDescent="0.3">
      <c r="A10" t="s">
        <v>197</v>
      </c>
      <c r="B10">
        <v>174</v>
      </c>
      <c r="C10">
        <v>173</v>
      </c>
      <c r="D10">
        <v>60</v>
      </c>
      <c r="E10">
        <v>102</v>
      </c>
      <c r="F10">
        <v>52</v>
      </c>
      <c r="G10">
        <v>43</v>
      </c>
      <c r="H10">
        <v>52</v>
      </c>
      <c r="I10">
        <v>14</v>
      </c>
      <c r="J10">
        <v>20</v>
      </c>
      <c r="K10">
        <v>28</v>
      </c>
    </row>
    <row r="11" spans="1:11" x14ac:dyDescent="0.3">
      <c r="A11" t="s">
        <v>172</v>
      </c>
      <c r="B11">
        <v>7</v>
      </c>
      <c r="C11">
        <v>7</v>
      </c>
      <c r="D11">
        <v>7</v>
      </c>
      <c r="E11">
        <v>7</v>
      </c>
      <c r="F11">
        <v>6</v>
      </c>
      <c r="G11">
        <v>1</v>
      </c>
      <c r="H11">
        <v>7</v>
      </c>
      <c r="I11">
        <v>6</v>
      </c>
      <c r="J11">
        <v>6</v>
      </c>
      <c r="K11">
        <v>0</v>
      </c>
    </row>
    <row r="12" spans="1:11" x14ac:dyDescent="0.3">
      <c r="A12" t="s">
        <v>607</v>
      </c>
      <c r="B12">
        <v>1</v>
      </c>
      <c r="C12">
        <v>1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</row>
    <row r="13" spans="1:11" x14ac:dyDescent="0.3">
      <c r="A13" t="s">
        <v>448</v>
      </c>
      <c r="B13">
        <v>13</v>
      </c>
      <c r="C13">
        <v>13</v>
      </c>
      <c r="D13">
        <v>9</v>
      </c>
      <c r="E13">
        <v>12</v>
      </c>
      <c r="F13">
        <v>10</v>
      </c>
      <c r="G13">
        <v>9</v>
      </c>
      <c r="H13">
        <v>7</v>
      </c>
      <c r="I13">
        <v>7</v>
      </c>
      <c r="J13">
        <v>1</v>
      </c>
      <c r="K13">
        <v>10</v>
      </c>
    </row>
    <row r="14" spans="1:11" x14ac:dyDescent="0.3">
      <c r="A14" t="s">
        <v>1288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1076</v>
      </c>
      <c r="B15">
        <v>55</v>
      </c>
      <c r="C15">
        <v>55</v>
      </c>
      <c r="D15">
        <v>49</v>
      </c>
      <c r="E15">
        <v>6</v>
      </c>
      <c r="F15">
        <v>55</v>
      </c>
      <c r="G15">
        <v>49</v>
      </c>
      <c r="H15">
        <v>6</v>
      </c>
      <c r="I15">
        <v>49</v>
      </c>
      <c r="J15">
        <v>49</v>
      </c>
      <c r="K15">
        <v>1</v>
      </c>
    </row>
    <row r="16" spans="1:11" x14ac:dyDescent="0.3">
      <c r="A16" t="s">
        <v>1418</v>
      </c>
      <c r="B16">
        <v>1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1419</v>
      </c>
      <c r="B17">
        <v>372</v>
      </c>
      <c r="C17">
        <v>370</v>
      </c>
      <c r="D17">
        <v>215</v>
      </c>
      <c r="E17">
        <v>207</v>
      </c>
      <c r="F17">
        <v>188</v>
      </c>
      <c r="G17">
        <v>174</v>
      </c>
      <c r="H17">
        <v>126</v>
      </c>
      <c r="I17">
        <v>122</v>
      </c>
      <c r="J17">
        <v>105</v>
      </c>
      <c r="K17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E4C1-410F-4DBD-9BB6-32AEC858BF2B}">
  <dimension ref="A1:L141"/>
  <sheetViews>
    <sheetView topLeftCell="A110" zoomScale="72" zoomScaleNormal="100" workbookViewId="0">
      <selection activeCell="C141" sqref="C141"/>
    </sheetView>
  </sheetViews>
  <sheetFormatPr defaultRowHeight="14.4" x14ac:dyDescent="0.3"/>
  <cols>
    <col min="1" max="1" width="12.33203125" bestFit="1" customWidth="1"/>
    <col min="2" max="2" width="11.109375" bestFit="1" customWidth="1"/>
    <col min="3" max="3" width="10.6640625" style="3" bestFit="1" customWidth="1"/>
  </cols>
  <sheetData>
    <row r="1" spans="1:3" x14ac:dyDescent="0.3">
      <c r="A1" t="s">
        <v>1413</v>
      </c>
      <c r="B1" t="s">
        <v>1414</v>
      </c>
      <c r="C1" s="3" t="s">
        <v>1415</v>
      </c>
    </row>
    <row r="2" spans="1:3" x14ac:dyDescent="0.3">
      <c r="A2" t="s">
        <v>33</v>
      </c>
      <c r="B2">
        <v>370</v>
      </c>
      <c r="C2" s="3">
        <f>B2/372</f>
        <v>0.9946236559139785</v>
      </c>
    </row>
    <row r="3" spans="1:3" x14ac:dyDescent="0.3">
      <c r="A3" t="s">
        <v>40</v>
      </c>
      <c r="B3">
        <v>227</v>
      </c>
      <c r="C3" s="3">
        <f t="shared" ref="C3:C66" si="0">B3/372</f>
        <v>0.61021505376344087</v>
      </c>
    </row>
    <row r="4" spans="1:3" x14ac:dyDescent="0.3">
      <c r="A4" t="s">
        <v>34</v>
      </c>
      <c r="B4">
        <v>225</v>
      </c>
      <c r="C4" s="3">
        <f t="shared" si="0"/>
        <v>0.60483870967741937</v>
      </c>
    </row>
    <row r="5" spans="1:3" x14ac:dyDescent="0.3">
      <c r="A5" t="s">
        <v>103</v>
      </c>
      <c r="B5">
        <v>215</v>
      </c>
      <c r="C5" s="3">
        <f t="shared" si="0"/>
        <v>0.57795698924731187</v>
      </c>
    </row>
    <row r="6" spans="1:3" x14ac:dyDescent="0.3">
      <c r="A6" t="s">
        <v>156</v>
      </c>
      <c r="B6">
        <v>207</v>
      </c>
      <c r="C6" s="3">
        <f t="shared" si="0"/>
        <v>0.55645161290322576</v>
      </c>
    </row>
    <row r="7" spans="1:3" x14ac:dyDescent="0.3">
      <c r="A7" t="s">
        <v>151</v>
      </c>
      <c r="B7">
        <v>188</v>
      </c>
      <c r="C7" s="3">
        <f t="shared" si="0"/>
        <v>0.5053763440860215</v>
      </c>
    </row>
    <row r="8" spans="1:3" x14ac:dyDescent="0.3">
      <c r="A8" t="s">
        <v>150</v>
      </c>
      <c r="B8">
        <v>185</v>
      </c>
      <c r="C8" s="3">
        <f t="shared" si="0"/>
        <v>0.49731182795698925</v>
      </c>
    </row>
    <row r="9" spans="1:3" x14ac:dyDescent="0.3">
      <c r="A9" t="s">
        <v>159</v>
      </c>
      <c r="B9">
        <v>174</v>
      </c>
      <c r="C9" s="3">
        <f t="shared" si="0"/>
        <v>0.46774193548387094</v>
      </c>
    </row>
    <row r="10" spans="1:3" x14ac:dyDescent="0.3">
      <c r="A10" t="s">
        <v>155</v>
      </c>
      <c r="B10">
        <v>152</v>
      </c>
      <c r="C10" s="3">
        <f t="shared" si="0"/>
        <v>0.40860215053763443</v>
      </c>
    </row>
    <row r="11" spans="1:3" x14ac:dyDescent="0.3">
      <c r="A11" t="s">
        <v>153</v>
      </c>
      <c r="B11">
        <v>145</v>
      </c>
      <c r="C11" s="3">
        <f t="shared" si="0"/>
        <v>0.38978494623655913</v>
      </c>
    </row>
    <row r="12" spans="1:3" x14ac:dyDescent="0.3">
      <c r="A12" t="s">
        <v>92</v>
      </c>
      <c r="B12">
        <v>126</v>
      </c>
      <c r="C12" s="3">
        <f t="shared" si="0"/>
        <v>0.33870967741935482</v>
      </c>
    </row>
    <row r="13" spans="1:3" x14ac:dyDescent="0.3">
      <c r="A13" t="s">
        <v>134</v>
      </c>
      <c r="B13">
        <v>126</v>
      </c>
      <c r="C13" s="3">
        <f t="shared" si="0"/>
        <v>0.33870967741935482</v>
      </c>
    </row>
    <row r="14" spans="1:3" x14ac:dyDescent="0.3">
      <c r="A14" t="s">
        <v>41</v>
      </c>
      <c r="B14">
        <v>122</v>
      </c>
      <c r="C14" s="3">
        <f t="shared" si="0"/>
        <v>0.32795698924731181</v>
      </c>
    </row>
    <row r="15" spans="1:3" x14ac:dyDescent="0.3">
      <c r="A15" t="s">
        <v>35</v>
      </c>
      <c r="B15">
        <v>120</v>
      </c>
      <c r="C15" s="3">
        <f t="shared" si="0"/>
        <v>0.32258064516129031</v>
      </c>
    </row>
    <row r="16" spans="1:3" x14ac:dyDescent="0.3">
      <c r="A16" t="s">
        <v>30</v>
      </c>
      <c r="B16">
        <v>112</v>
      </c>
      <c r="C16" s="3">
        <f t="shared" si="0"/>
        <v>0.30107526881720431</v>
      </c>
    </row>
    <row r="17" spans="1:12" x14ac:dyDescent="0.3">
      <c r="A17" t="s">
        <v>115</v>
      </c>
      <c r="B17">
        <v>105</v>
      </c>
      <c r="C17" s="3">
        <f t="shared" si="0"/>
        <v>0.28225806451612906</v>
      </c>
    </row>
    <row r="18" spans="1:12" x14ac:dyDescent="0.3">
      <c r="A18" t="s">
        <v>32</v>
      </c>
      <c r="B18">
        <v>102</v>
      </c>
      <c r="C18" s="3">
        <f t="shared" si="0"/>
        <v>0.27419354838709675</v>
      </c>
    </row>
    <row r="19" spans="1:12" x14ac:dyDescent="0.3">
      <c r="A19" t="s">
        <v>24</v>
      </c>
      <c r="B19">
        <v>93</v>
      </c>
      <c r="C19" s="3">
        <f t="shared" si="0"/>
        <v>0.25</v>
      </c>
    </row>
    <row r="20" spans="1:12" x14ac:dyDescent="0.3">
      <c r="A20" t="s">
        <v>118</v>
      </c>
      <c r="B20">
        <v>77</v>
      </c>
      <c r="C20" s="3">
        <f t="shared" si="0"/>
        <v>0.20698924731182797</v>
      </c>
    </row>
    <row r="21" spans="1:12" x14ac:dyDescent="0.3">
      <c r="A21" t="s">
        <v>44</v>
      </c>
      <c r="B21">
        <v>74</v>
      </c>
      <c r="C21" s="3">
        <f t="shared" si="0"/>
        <v>0.19892473118279569</v>
      </c>
    </row>
    <row r="22" spans="1:12" x14ac:dyDescent="0.3">
      <c r="A22" t="s">
        <v>38</v>
      </c>
      <c r="B22">
        <v>72</v>
      </c>
      <c r="C22" s="3">
        <f t="shared" si="0"/>
        <v>0.19354838709677419</v>
      </c>
      <c r="L22" t="s">
        <v>1416</v>
      </c>
    </row>
    <row r="23" spans="1:12" x14ac:dyDescent="0.3">
      <c r="A23" t="s">
        <v>76</v>
      </c>
      <c r="B23">
        <v>65</v>
      </c>
      <c r="C23" s="3">
        <f t="shared" si="0"/>
        <v>0.17473118279569894</v>
      </c>
    </row>
    <row r="24" spans="1:12" x14ac:dyDescent="0.3">
      <c r="A24" t="s">
        <v>139</v>
      </c>
      <c r="B24">
        <v>58</v>
      </c>
      <c r="C24" s="3">
        <f t="shared" si="0"/>
        <v>0.15591397849462366</v>
      </c>
    </row>
    <row r="25" spans="1:12" x14ac:dyDescent="0.3">
      <c r="A25" t="s">
        <v>154</v>
      </c>
      <c r="B25">
        <v>55</v>
      </c>
      <c r="C25" s="3">
        <f t="shared" si="0"/>
        <v>0.14784946236559141</v>
      </c>
    </row>
    <row r="26" spans="1:12" x14ac:dyDescent="0.3">
      <c r="A26" t="s">
        <v>132</v>
      </c>
      <c r="B26">
        <v>48</v>
      </c>
      <c r="C26" s="3">
        <f t="shared" si="0"/>
        <v>0.12903225806451613</v>
      </c>
    </row>
    <row r="27" spans="1:12" x14ac:dyDescent="0.3">
      <c r="A27" t="s">
        <v>42</v>
      </c>
      <c r="B27">
        <v>47</v>
      </c>
      <c r="C27" s="3">
        <f t="shared" si="0"/>
        <v>0.12634408602150538</v>
      </c>
    </row>
    <row r="28" spans="1:12" x14ac:dyDescent="0.3">
      <c r="A28" t="s">
        <v>138</v>
      </c>
      <c r="B28">
        <v>47</v>
      </c>
      <c r="C28" s="3">
        <f t="shared" si="0"/>
        <v>0.12634408602150538</v>
      </c>
    </row>
    <row r="29" spans="1:12" x14ac:dyDescent="0.3">
      <c r="A29" t="s">
        <v>157</v>
      </c>
      <c r="B29">
        <v>45</v>
      </c>
      <c r="C29" s="3">
        <f t="shared" si="0"/>
        <v>0.12096774193548387</v>
      </c>
    </row>
    <row r="30" spans="1:12" x14ac:dyDescent="0.3">
      <c r="A30" t="s">
        <v>37</v>
      </c>
      <c r="B30">
        <v>36</v>
      </c>
      <c r="C30" s="3">
        <f t="shared" si="0"/>
        <v>9.6774193548387094E-2</v>
      </c>
    </row>
    <row r="31" spans="1:12" x14ac:dyDescent="0.3">
      <c r="A31" t="s">
        <v>68</v>
      </c>
      <c r="B31">
        <v>35</v>
      </c>
      <c r="C31" s="3">
        <f t="shared" si="0"/>
        <v>9.4086021505376344E-2</v>
      </c>
    </row>
    <row r="32" spans="1:12" x14ac:dyDescent="0.3">
      <c r="A32" t="s">
        <v>126</v>
      </c>
      <c r="B32">
        <v>27</v>
      </c>
      <c r="C32" s="3">
        <f t="shared" si="0"/>
        <v>7.2580645161290328E-2</v>
      </c>
    </row>
    <row r="33" spans="1:3" x14ac:dyDescent="0.3">
      <c r="A33" t="s">
        <v>93</v>
      </c>
      <c r="B33">
        <v>23</v>
      </c>
      <c r="C33" s="3">
        <f t="shared" si="0"/>
        <v>6.1827956989247312E-2</v>
      </c>
    </row>
    <row r="34" spans="1:3" x14ac:dyDescent="0.3">
      <c r="A34" t="s">
        <v>135</v>
      </c>
      <c r="B34">
        <v>23</v>
      </c>
      <c r="C34" s="3">
        <f t="shared" si="0"/>
        <v>6.1827956989247312E-2</v>
      </c>
    </row>
    <row r="35" spans="1:3" x14ac:dyDescent="0.3">
      <c r="A35" t="s">
        <v>22</v>
      </c>
      <c r="B35">
        <v>21</v>
      </c>
      <c r="C35" s="3">
        <f t="shared" si="0"/>
        <v>5.6451612903225805E-2</v>
      </c>
    </row>
    <row r="36" spans="1:3" x14ac:dyDescent="0.3">
      <c r="A36" t="s">
        <v>146</v>
      </c>
      <c r="B36">
        <v>21</v>
      </c>
      <c r="C36" s="3">
        <f t="shared" si="0"/>
        <v>5.6451612903225805E-2</v>
      </c>
    </row>
    <row r="37" spans="1:3" x14ac:dyDescent="0.3">
      <c r="A37" t="s">
        <v>57</v>
      </c>
      <c r="B37">
        <v>20</v>
      </c>
      <c r="C37" s="3">
        <f t="shared" si="0"/>
        <v>5.3763440860215055E-2</v>
      </c>
    </row>
    <row r="38" spans="1:3" x14ac:dyDescent="0.3">
      <c r="A38" t="s">
        <v>113</v>
      </c>
      <c r="B38">
        <v>20</v>
      </c>
      <c r="C38" s="3">
        <f t="shared" si="0"/>
        <v>5.3763440860215055E-2</v>
      </c>
    </row>
    <row r="39" spans="1:3" x14ac:dyDescent="0.3">
      <c r="A39" t="s">
        <v>136</v>
      </c>
      <c r="B39">
        <v>20</v>
      </c>
      <c r="C39" s="3">
        <f t="shared" si="0"/>
        <v>5.3763440860215055E-2</v>
      </c>
    </row>
    <row r="40" spans="1:3" x14ac:dyDescent="0.3">
      <c r="A40" t="s">
        <v>147</v>
      </c>
      <c r="B40">
        <v>20</v>
      </c>
      <c r="C40" s="3">
        <f t="shared" si="0"/>
        <v>5.3763440860215055E-2</v>
      </c>
    </row>
    <row r="41" spans="1:3" x14ac:dyDescent="0.3">
      <c r="A41" t="s">
        <v>26</v>
      </c>
      <c r="B41">
        <v>19</v>
      </c>
      <c r="C41" s="3">
        <f t="shared" si="0"/>
        <v>5.1075268817204304E-2</v>
      </c>
    </row>
    <row r="42" spans="1:3" x14ac:dyDescent="0.3">
      <c r="A42" t="s">
        <v>63</v>
      </c>
      <c r="B42">
        <v>19</v>
      </c>
      <c r="C42" s="3">
        <f t="shared" si="0"/>
        <v>5.1075268817204304E-2</v>
      </c>
    </row>
    <row r="43" spans="1:3" x14ac:dyDescent="0.3">
      <c r="A43" t="s">
        <v>85</v>
      </c>
      <c r="B43">
        <v>17</v>
      </c>
      <c r="C43" s="3">
        <f t="shared" si="0"/>
        <v>4.5698924731182797E-2</v>
      </c>
    </row>
    <row r="44" spans="1:3" x14ac:dyDescent="0.3">
      <c r="A44" t="s">
        <v>129</v>
      </c>
      <c r="B44">
        <v>15</v>
      </c>
      <c r="C44" s="3">
        <f t="shared" si="0"/>
        <v>4.0322580645161289E-2</v>
      </c>
    </row>
    <row r="45" spans="1:3" x14ac:dyDescent="0.3">
      <c r="A45" t="s">
        <v>70</v>
      </c>
      <c r="B45">
        <v>14</v>
      </c>
      <c r="C45" s="3">
        <f t="shared" si="0"/>
        <v>3.7634408602150539E-2</v>
      </c>
    </row>
    <row r="46" spans="1:3" x14ac:dyDescent="0.3">
      <c r="A46" t="s">
        <v>80</v>
      </c>
      <c r="B46">
        <v>13</v>
      </c>
      <c r="C46" s="3">
        <f t="shared" si="0"/>
        <v>3.4946236559139782E-2</v>
      </c>
    </row>
    <row r="47" spans="1:3" x14ac:dyDescent="0.3">
      <c r="A47" t="s">
        <v>125</v>
      </c>
      <c r="B47">
        <v>13</v>
      </c>
      <c r="C47" s="3">
        <f t="shared" si="0"/>
        <v>3.4946236559139782E-2</v>
      </c>
    </row>
    <row r="48" spans="1:3" x14ac:dyDescent="0.3">
      <c r="A48" t="s">
        <v>112</v>
      </c>
      <c r="B48">
        <v>12</v>
      </c>
      <c r="C48" s="3">
        <f t="shared" si="0"/>
        <v>3.2258064516129031E-2</v>
      </c>
    </row>
    <row r="49" spans="1:3" x14ac:dyDescent="0.3">
      <c r="A49" t="s">
        <v>140</v>
      </c>
      <c r="B49">
        <v>12</v>
      </c>
      <c r="C49" s="3">
        <f t="shared" si="0"/>
        <v>3.2258064516129031E-2</v>
      </c>
    </row>
    <row r="50" spans="1:3" x14ac:dyDescent="0.3">
      <c r="A50" t="s">
        <v>73</v>
      </c>
      <c r="B50">
        <v>11</v>
      </c>
      <c r="C50" s="3">
        <f t="shared" si="0"/>
        <v>2.9569892473118281E-2</v>
      </c>
    </row>
    <row r="51" spans="1:3" x14ac:dyDescent="0.3">
      <c r="A51" t="s">
        <v>114</v>
      </c>
      <c r="B51">
        <v>11</v>
      </c>
      <c r="C51" s="3">
        <f t="shared" si="0"/>
        <v>2.9569892473118281E-2</v>
      </c>
    </row>
    <row r="52" spans="1:3" x14ac:dyDescent="0.3">
      <c r="A52" t="s">
        <v>143</v>
      </c>
      <c r="B52">
        <v>11</v>
      </c>
      <c r="C52" s="3">
        <f t="shared" si="0"/>
        <v>2.9569892473118281E-2</v>
      </c>
    </row>
    <row r="53" spans="1:3" x14ac:dyDescent="0.3">
      <c r="A53" t="s">
        <v>158</v>
      </c>
      <c r="B53">
        <v>11</v>
      </c>
      <c r="C53" s="3">
        <f t="shared" si="0"/>
        <v>2.9569892473118281E-2</v>
      </c>
    </row>
    <row r="54" spans="1:3" x14ac:dyDescent="0.3">
      <c r="A54" t="s">
        <v>27</v>
      </c>
      <c r="B54">
        <v>10</v>
      </c>
      <c r="C54" s="3">
        <f t="shared" si="0"/>
        <v>2.6881720430107527E-2</v>
      </c>
    </row>
    <row r="55" spans="1:3" x14ac:dyDescent="0.3">
      <c r="A55" t="s">
        <v>29</v>
      </c>
      <c r="B55">
        <v>10</v>
      </c>
      <c r="C55" s="3">
        <f t="shared" si="0"/>
        <v>2.6881720430107527E-2</v>
      </c>
    </row>
    <row r="56" spans="1:3" x14ac:dyDescent="0.3">
      <c r="A56" t="s">
        <v>31</v>
      </c>
      <c r="B56">
        <v>10</v>
      </c>
      <c r="C56" s="3">
        <f t="shared" si="0"/>
        <v>2.6881720430107527E-2</v>
      </c>
    </row>
    <row r="57" spans="1:3" x14ac:dyDescent="0.3">
      <c r="A57" t="s">
        <v>49</v>
      </c>
      <c r="B57">
        <v>10</v>
      </c>
      <c r="C57" s="3">
        <f t="shared" si="0"/>
        <v>2.6881720430107527E-2</v>
      </c>
    </row>
    <row r="58" spans="1:3" x14ac:dyDescent="0.3">
      <c r="A58" t="s">
        <v>79</v>
      </c>
      <c r="B58">
        <v>10</v>
      </c>
      <c r="C58" s="3">
        <f t="shared" si="0"/>
        <v>2.6881720430107527E-2</v>
      </c>
    </row>
    <row r="59" spans="1:3" x14ac:dyDescent="0.3">
      <c r="A59" t="s">
        <v>106</v>
      </c>
      <c r="B59">
        <v>10</v>
      </c>
      <c r="C59" s="3">
        <f t="shared" si="0"/>
        <v>2.6881720430107527E-2</v>
      </c>
    </row>
    <row r="60" spans="1:3" x14ac:dyDescent="0.3">
      <c r="A60" t="s">
        <v>117</v>
      </c>
      <c r="B60">
        <v>10</v>
      </c>
      <c r="C60" s="3">
        <f t="shared" si="0"/>
        <v>2.6881720430107527E-2</v>
      </c>
    </row>
    <row r="61" spans="1:3" x14ac:dyDescent="0.3">
      <c r="A61" t="s">
        <v>144</v>
      </c>
      <c r="B61">
        <v>10</v>
      </c>
      <c r="C61" s="3">
        <f t="shared" si="0"/>
        <v>2.6881720430107527E-2</v>
      </c>
    </row>
    <row r="62" spans="1:3" x14ac:dyDescent="0.3">
      <c r="A62" t="s">
        <v>78</v>
      </c>
      <c r="B62">
        <v>9</v>
      </c>
      <c r="C62" s="3">
        <f t="shared" si="0"/>
        <v>2.4193548387096774E-2</v>
      </c>
    </row>
    <row r="63" spans="1:3" x14ac:dyDescent="0.3">
      <c r="A63" t="s">
        <v>94</v>
      </c>
      <c r="B63">
        <v>9</v>
      </c>
      <c r="C63" s="3">
        <f t="shared" si="0"/>
        <v>2.4193548387096774E-2</v>
      </c>
    </row>
    <row r="64" spans="1:3" x14ac:dyDescent="0.3">
      <c r="A64" t="s">
        <v>95</v>
      </c>
      <c r="B64">
        <v>9</v>
      </c>
      <c r="C64" s="3">
        <f t="shared" si="0"/>
        <v>2.4193548387096774E-2</v>
      </c>
    </row>
    <row r="65" spans="1:3" x14ac:dyDescent="0.3">
      <c r="A65" t="s">
        <v>111</v>
      </c>
      <c r="B65">
        <v>9</v>
      </c>
      <c r="C65" s="3">
        <f t="shared" si="0"/>
        <v>2.4193548387096774E-2</v>
      </c>
    </row>
    <row r="66" spans="1:3" x14ac:dyDescent="0.3">
      <c r="A66" t="s">
        <v>88</v>
      </c>
      <c r="B66">
        <v>8</v>
      </c>
      <c r="C66" s="3">
        <f t="shared" si="0"/>
        <v>2.1505376344086023E-2</v>
      </c>
    </row>
    <row r="67" spans="1:3" x14ac:dyDescent="0.3">
      <c r="A67" t="s">
        <v>109</v>
      </c>
      <c r="B67">
        <v>8</v>
      </c>
      <c r="C67" s="3">
        <f t="shared" ref="C67:C130" si="1">B67/372</f>
        <v>2.1505376344086023E-2</v>
      </c>
    </row>
    <row r="68" spans="1:3" x14ac:dyDescent="0.3">
      <c r="A68" t="s">
        <v>137</v>
      </c>
      <c r="B68">
        <v>8</v>
      </c>
      <c r="C68" s="3">
        <f t="shared" si="1"/>
        <v>2.1505376344086023E-2</v>
      </c>
    </row>
    <row r="69" spans="1:3" x14ac:dyDescent="0.3">
      <c r="A69" t="s">
        <v>28</v>
      </c>
      <c r="B69">
        <v>7</v>
      </c>
      <c r="C69" s="3">
        <f t="shared" si="1"/>
        <v>1.8817204301075269E-2</v>
      </c>
    </row>
    <row r="70" spans="1:3" x14ac:dyDescent="0.3">
      <c r="A70" t="s">
        <v>43</v>
      </c>
      <c r="B70">
        <v>7</v>
      </c>
      <c r="C70" s="3">
        <f t="shared" si="1"/>
        <v>1.8817204301075269E-2</v>
      </c>
    </row>
    <row r="71" spans="1:3" x14ac:dyDescent="0.3">
      <c r="A71" t="s">
        <v>53</v>
      </c>
      <c r="B71">
        <v>7</v>
      </c>
      <c r="C71" s="3">
        <f t="shared" si="1"/>
        <v>1.8817204301075269E-2</v>
      </c>
    </row>
    <row r="72" spans="1:3" x14ac:dyDescent="0.3">
      <c r="A72" t="s">
        <v>77</v>
      </c>
      <c r="B72">
        <v>7</v>
      </c>
      <c r="C72" s="3">
        <f t="shared" si="1"/>
        <v>1.8817204301075269E-2</v>
      </c>
    </row>
    <row r="73" spans="1:3" x14ac:dyDescent="0.3">
      <c r="A73" t="s">
        <v>110</v>
      </c>
      <c r="B73">
        <v>7</v>
      </c>
      <c r="C73" s="3">
        <f t="shared" si="1"/>
        <v>1.8817204301075269E-2</v>
      </c>
    </row>
    <row r="74" spans="1:3" x14ac:dyDescent="0.3">
      <c r="A74" t="s">
        <v>142</v>
      </c>
      <c r="B74">
        <v>7</v>
      </c>
      <c r="C74" s="3">
        <f t="shared" si="1"/>
        <v>1.8817204301075269E-2</v>
      </c>
    </row>
    <row r="75" spans="1:3" x14ac:dyDescent="0.3">
      <c r="A75" t="s">
        <v>23</v>
      </c>
      <c r="B75">
        <v>5</v>
      </c>
      <c r="C75" s="3">
        <f t="shared" si="1"/>
        <v>1.3440860215053764E-2</v>
      </c>
    </row>
    <row r="76" spans="1:3" x14ac:dyDescent="0.3">
      <c r="A76" t="s">
        <v>25</v>
      </c>
      <c r="B76">
        <v>5</v>
      </c>
      <c r="C76" s="3">
        <f t="shared" si="1"/>
        <v>1.3440860215053764E-2</v>
      </c>
    </row>
    <row r="77" spans="1:3" x14ac:dyDescent="0.3">
      <c r="A77" t="s">
        <v>67</v>
      </c>
      <c r="B77">
        <v>5</v>
      </c>
      <c r="C77" s="3">
        <f t="shared" si="1"/>
        <v>1.3440860215053764E-2</v>
      </c>
    </row>
    <row r="78" spans="1:3" x14ac:dyDescent="0.3">
      <c r="A78" t="s">
        <v>83</v>
      </c>
      <c r="B78">
        <v>5</v>
      </c>
      <c r="C78" s="3">
        <f t="shared" si="1"/>
        <v>1.3440860215053764E-2</v>
      </c>
    </row>
    <row r="79" spans="1:3" x14ac:dyDescent="0.3">
      <c r="A79" t="s">
        <v>84</v>
      </c>
      <c r="B79">
        <v>5</v>
      </c>
      <c r="C79" s="3">
        <f t="shared" si="1"/>
        <v>1.3440860215053764E-2</v>
      </c>
    </row>
    <row r="80" spans="1:3" x14ac:dyDescent="0.3">
      <c r="A80" t="s">
        <v>128</v>
      </c>
      <c r="B80">
        <v>5</v>
      </c>
      <c r="C80" s="3">
        <f t="shared" si="1"/>
        <v>1.3440860215053764E-2</v>
      </c>
    </row>
    <row r="81" spans="1:3" x14ac:dyDescent="0.3">
      <c r="A81" t="s">
        <v>161</v>
      </c>
      <c r="B81">
        <v>5</v>
      </c>
      <c r="C81" s="3">
        <f t="shared" si="1"/>
        <v>1.3440860215053764E-2</v>
      </c>
    </row>
    <row r="82" spans="1:3" x14ac:dyDescent="0.3">
      <c r="A82" t="s">
        <v>39</v>
      </c>
      <c r="B82">
        <v>4</v>
      </c>
      <c r="C82" s="3">
        <f t="shared" si="1"/>
        <v>1.0752688172043012E-2</v>
      </c>
    </row>
    <row r="83" spans="1:3" x14ac:dyDescent="0.3">
      <c r="A83" t="s">
        <v>52</v>
      </c>
      <c r="B83">
        <v>4</v>
      </c>
      <c r="C83" s="3">
        <f t="shared" si="1"/>
        <v>1.0752688172043012E-2</v>
      </c>
    </row>
    <row r="84" spans="1:3" x14ac:dyDescent="0.3">
      <c r="A84" t="s">
        <v>74</v>
      </c>
      <c r="B84">
        <v>4</v>
      </c>
      <c r="C84" s="3">
        <f t="shared" si="1"/>
        <v>1.0752688172043012E-2</v>
      </c>
    </row>
    <row r="85" spans="1:3" x14ac:dyDescent="0.3">
      <c r="A85" t="s">
        <v>75</v>
      </c>
      <c r="B85">
        <v>4</v>
      </c>
      <c r="C85" s="3">
        <f t="shared" si="1"/>
        <v>1.0752688172043012E-2</v>
      </c>
    </row>
    <row r="86" spans="1:3" x14ac:dyDescent="0.3">
      <c r="A86" t="s">
        <v>91</v>
      </c>
      <c r="B86">
        <v>4</v>
      </c>
      <c r="C86" s="3">
        <f t="shared" si="1"/>
        <v>1.0752688172043012E-2</v>
      </c>
    </row>
    <row r="87" spans="1:3" x14ac:dyDescent="0.3">
      <c r="A87" t="s">
        <v>97</v>
      </c>
      <c r="B87">
        <v>4</v>
      </c>
      <c r="C87" s="3">
        <f t="shared" si="1"/>
        <v>1.0752688172043012E-2</v>
      </c>
    </row>
    <row r="88" spans="1:3" x14ac:dyDescent="0.3">
      <c r="A88" t="s">
        <v>98</v>
      </c>
      <c r="B88">
        <v>4</v>
      </c>
      <c r="C88" s="3">
        <f t="shared" si="1"/>
        <v>1.0752688172043012E-2</v>
      </c>
    </row>
    <row r="89" spans="1:3" x14ac:dyDescent="0.3">
      <c r="A89" t="s">
        <v>100</v>
      </c>
      <c r="B89">
        <v>4</v>
      </c>
      <c r="C89" s="3">
        <f t="shared" si="1"/>
        <v>1.0752688172043012E-2</v>
      </c>
    </row>
    <row r="90" spans="1:3" x14ac:dyDescent="0.3">
      <c r="A90" t="s">
        <v>116</v>
      </c>
      <c r="B90">
        <v>4</v>
      </c>
      <c r="C90" s="3">
        <f t="shared" si="1"/>
        <v>1.0752688172043012E-2</v>
      </c>
    </row>
    <row r="91" spans="1:3" x14ac:dyDescent="0.3">
      <c r="A91" t="s">
        <v>149</v>
      </c>
      <c r="B91">
        <v>4</v>
      </c>
      <c r="C91" s="3">
        <f t="shared" si="1"/>
        <v>1.0752688172043012E-2</v>
      </c>
    </row>
    <row r="92" spans="1:3" x14ac:dyDescent="0.3">
      <c r="A92" t="s">
        <v>46</v>
      </c>
      <c r="B92">
        <v>3</v>
      </c>
      <c r="C92" s="3">
        <f t="shared" si="1"/>
        <v>8.0645161290322578E-3</v>
      </c>
    </row>
    <row r="93" spans="1:3" x14ac:dyDescent="0.3">
      <c r="A93" t="s">
        <v>51</v>
      </c>
      <c r="B93">
        <v>3</v>
      </c>
      <c r="C93" s="3">
        <f t="shared" si="1"/>
        <v>8.0645161290322578E-3</v>
      </c>
    </row>
    <row r="94" spans="1:3" x14ac:dyDescent="0.3">
      <c r="A94" t="s">
        <v>54</v>
      </c>
      <c r="B94">
        <v>3</v>
      </c>
      <c r="C94" s="3">
        <f t="shared" si="1"/>
        <v>8.0645161290322578E-3</v>
      </c>
    </row>
    <row r="95" spans="1:3" x14ac:dyDescent="0.3">
      <c r="A95" t="s">
        <v>59</v>
      </c>
      <c r="B95">
        <v>3</v>
      </c>
      <c r="C95" s="3">
        <f t="shared" si="1"/>
        <v>8.0645161290322578E-3</v>
      </c>
    </row>
    <row r="96" spans="1:3" x14ac:dyDescent="0.3">
      <c r="A96" t="s">
        <v>61</v>
      </c>
      <c r="B96">
        <v>3</v>
      </c>
      <c r="C96" s="3">
        <f t="shared" si="1"/>
        <v>8.0645161290322578E-3</v>
      </c>
    </row>
    <row r="97" spans="1:3" x14ac:dyDescent="0.3">
      <c r="A97" t="s">
        <v>72</v>
      </c>
      <c r="B97">
        <v>3</v>
      </c>
      <c r="C97" s="3">
        <f t="shared" si="1"/>
        <v>8.0645161290322578E-3</v>
      </c>
    </row>
    <row r="98" spans="1:3" x14ac:dyDescent="0.3">
      <c r="A98" t="s">
        <v>107</v>
      </c>
      <c r="B98">
        <v>3</v>
      </c>
      <c r="C98" s="3">
        <f t="shared" si="1"/>
        <v>8.0645161290322578E-3</v>
      </c>
    </row>
    <row r="99" spans="1:3" x14ac:dyDescent="0.3">
      <c r="A99" t="s">
        <v>119</v>
      </c>
      <c r="B99">
        <v>3</v>
      </c>
      <c r="C99" s="3">
        <f t="shared" si="1"/>
        <v>8.0645161290322578E-3</v>
      </c>
    </row>
    <row r="100" spans="1:3" x14ac:dyDescent="0.3">
      <c r="A100" t="s">
        <v>127</v>
      </c>
      <c r="B100">
        <v>3</v>
      </c>
      <c r="C100" s="3">
        <f t="shared" si="1"/>
        <v>8.0645161290322578E-3</v>
      </c>
    </row>
    <row r="101" spans="1:3" x14ac:dyDescent="0.3">
      <c r="A101" t="s">
        <v>50</v>
      </c>
      <c r="B101">
        <v>2</v>
      </c>
      <c r="C101" s="3">
        <f t="shared" si="1"/>
        <v>5.3763440860215058E-3</v>
      </c>
    </row>
    <row r="102" spans="1:3" x14ac:dyDescent="0.3">
      <c r="A102" t="s">
        <v>55</v>
      </c>
      <c r="B102">
        <v>2</v>
      </c>
      <c r="C102" s="3">
        <f t="shared" si="1"/>
        <v>5.3763440860215058E-3</v>
      </c>
    </row>
    <row r="103" spans="1:3" x14ac:dyDescent="0.3">
      <c r="A103" t="s">
        <v>58</v>
      </c>
      <c r="B103">
        <v>2</v>
      </c>
      <c r="C103" s="3">
        <f t="shared" si="1"/>
        <v>5.3763440860215058E-3</v>
      </c>
    </row>
    <row r="104" spans="1:3" x14ac:dyDescent="0.3">
      <c r="A104" t="s">
        <v>60</v>
      </c>
      <c r="B104">
        <v>2</v>
      </c>
      <c r="C104" s="3">
        <f t="shared" si="1"/>
        <v>5.3763440860215058E-3</v>
      </c>
    </row>
    <row r="105" spans="1:3" x14ac:dyDescent="0.3">
      <c r="A105" t="s">
        <v>65</v>
      </c>
      <c r="B105">
        <v>2</v>
      </c>
      <c r="C105" s="3">
        <f t="shared" si="1"/>
        <v>5.3763440860215058E-3</v>
      </c>
    </row>
    <row r="106" spans="1:3" x14ac:dyDescent="0.3">
      <c r="A106" t="s">
        <v>81</v>
      </c>
      <c r="B106">
        <v>2</v>
      </c>
      <c r="C106" s="3">
        <f t="shared" si="1"/>
        <v>5.3763440860215058E-3</v>
      </c>
    </row>
    <row r="107" spans="1:3" x14ac:dyDescent="0.3">
      <c r="A107" t="s">
        <v>82</v>
      </c>
      <c r="B107">
        <v>2</v>
      </c>
      <c r="C107" s="3">
        <f t="shared" si="1"/>
        <v>5.3763440860215058E-3</v>
      </c>
    </row>
    <row r="108" spans="1:3" x14ac:dyDescent="0.3">
      <c r="A108" t="s">
        <v>86</v>
      </c>
      <c r="B108">
        <v>2</v>
      </c>
      <c r="C108" s="3">
        <f t="shared" si="1"/>
        <v>5.3763440860215058E-3</v>
      </c>
    </row>
    <row r="109" spans="1:3" x14ac:dyDescent="0.3">
      <c r="A109" t="s">
        <v>89</v>
      </c>
      <c r="B109">
        <v>2</v>
      </c>
      <c r="C109" s="3">
        <f t="shared" si="1"/>
        <v>5.3763440860215058E-3</v>
      </c>
    </row>
    <row r="110" spans="1:3" x14ac:dyDescent="0.3">
      <c r="A110" t="s">
        <v>96</v>
      </c>
      <c r="B110">
        <v>2</v>
      </c>
      <c r="C110" s="3">
        <f t="shared" si="1"/>
        <v>5.3763440860215058E-3</v>
      </c>
    </row>
    <row r="111" spans="1:3" x14ac:dyDescent="0.3">
      <c r="A111" t="s">
        <v>123</v>
      </c>
      <c r="B111">
        <v>2</v>
      </c>
      <c r="C111" s="3">
        <f t="shared" si="1"/>
        <v>5.3763440860215058E-3</v>
      </c>
    </row>
    <row r="112" spans="1:3" x14ac:dyDescent="0.3">
      <c r="A112" t="s">
        <v>152</v>
      </c>
      <c r="B112">
        <v>2</v>
      </c>
      <c r="C112" s="3">
        <f t="shared" si="1"/>
        <v>5.3763440860215058E-3</v>
      </c>
    </row>
    <row r="113" spans="1:3" x14ac:dyDescent="0.3">
      <c r="A113" t="s">
        <v>160</v>
      </c>
      <c r="B113">
        <v>2</v>
      </c>
      <c r="C113" s="3">
        <f t="shared" si="1"/>
        <v>5.3763440860215058E-3</v>
      </c>
    </row>
    <row r="114" spans="1:3" x14ac:dyDescent="0.3">
      <c r="A114" t="s">
        <v>36</v>
      </c>
      <c r="B114">
        <v>1</v>
      </c>
      <c r="C114" s="3">
        <f t="shared" si="1"/>
        <v>2.6881720430107529E-3</v>
      </c>
    </row>
    <row r="115" spans="1:3" x14ac:dyDescent="0.3">
      <c r="A115" t="s">
        <v>45</v>
      </c>
      <c r="B115">
        <v>1</v>
      </c>
      <c r="C115" s="3">
        <f t="shared" si="1"/>
        <v>2.6881720430107529E-3</v>
      </c>
    </row>
    <row r="116" spans="1:3" x14ac:dyDescent="0.3">
      <c r="A116" t="s">
        <v>47</v>
      </c>
      <c r="B116">
        <v>1</v>
      </c>
      <c r="C116" s="3">
        <f t="shared" si="1"/>
        <v>2.6881720430107529E-3</v>
      </c>
    </row>
    <row r="117" spans="1:3" x14ac:dyDescent="0.3">
      <c r="A117" t="s">
        <v>48</v>
      </c>
      <c r="B117">
        <v>1</v>
      </c>
      <c r="C117" s="3">
        <f t="shared" si="1"/>
        <v>2.6881720430107529E-3</v>
      </c>
    </row>
    <row r="118" spans="1:3" x14ac:dyDescent="0.3">
      <c r="A118" t="s">
        <v>56</v>
      </c>
      <c r="B118">
        <v>1</v>
      </c>
      <c r="C118" s="3">
        <f t="shared" si="1"/>
        <v>2.6881720430107529E-3</v>
      </c>
    </row>
    <row r="119" spans="1:3" x14ac:dyDescent="0.3">
      <c r="A119" t="s">
        <v>62</v>
      </c>
      <c r="B119">
        <v>1</v>
      </c>
      <c r="C119" s="3">
        <f t="shared" si="1"/>
        <v>2.6881720430107529E-3</v>
      </c>
    </row>
    <row r="120" spans="1:3" x14ac:dyDescent="0.3">
      <c r="A120" t="s">
        <v>64</v>
      </c>
      <c r="B120">
        <v>1</v>
      </c>
      <c r="C120" s="3">
        <f t="shared" si="1"/>
        <v>2.6881720430107529E-3</v>
      </c>
    </row>
    <row r="121" spans="1:3" x14ac:dyDescent="0.3">
      <c r="A121" t="s">
        <v>66</v>
      </c>
      <c r="B121">
        <v>1</v>
      </c>
      <c r="C121" s="3">
        <f t="shared" si="1"/>
        <v>2.6881720430107529E-3</v>
      </c>
    </row>
    <row r="122" spans="1:3" x14ac:dyDescent="0.3">
      <c r="A122" t="s">
        <v>69</v>
      </c>
      <c r="B122">
        <v>1</v>
      </c>
      <c r="C122" s="3">
        <f t="shared" si="1"/>
        <v>2.6881720430107529E-3</v>
      </c>
    </row>
    <row r="123" spans="1:3" x14ac:dyDescent="0.3">
      <c r="A123" t="s">
        <v>71</v>
      </c>
      <c r="B123">
        <v>1</v>
      </c>
      <c r="C123" s="3">
        <f t="shared" si="1"/>
        <v>2.6881720430107529E-3</v>
      </c>
    </row>
    <row r="124" spans="1:3" x14ac:dyDescent="0.3">
      <c r="A124" t="s">
        <v>87</v>
      </c>
      <c r="B124">
        <v>1</v>
      </c>
      <c r="C124" s="3">
        <f t="shared" si="1"/>
        <v>2.6881720430107529E-3</v>
      </c>
    </row>
    <row r="125" spans="1:3" x14ac:dyDescent="0.3">
      <c r="A125" t="s">
        <v>90</v>
      </c>
      <c r="B125">
        <v>1</v>
      </c>
      <c r="C125" s="3">
        <f t="shared" si="1"/>
        <v>2.6881720430107529E-3</v>
      </c>
    </row>
    <row r="126" spans="1:3" x14ac:dyDescent="0.3">
      <c r="A126" t="s">
        <v>99</v>
      </c>
      <c r="B126">
        <v>1</v>
      </c>
      <c r="C126" s="3">
        <f t="shared" si="1"/>
        <v>2.6881720430107529E-3</v>
      </c>
    </row>
    <row r="127" spans="1:3" x14ac:dyDescent="0.3">
      <c r="A127" t="s">
        <v>101</v>
      </c>
      <c r="B127">
        <v>1</v>
      </c>
      <c r="C127" s="3">
        <f t="shared" si="1"/>
        <v>2.6881720430107529E-3</v>
      </c>
    </row>
    <row r="128" spans="1:3" x14ac:dyDescent="0.3">
      <c r="A128" t="s">
        <v>102</v>
      </c>
      <c r="B128">
        <v>1</v>
      </c>
      <c r="C128" s="3">
        <f t="shared" si="1"/>
        <v>2.6881720430107529E-3</v>
      </c>
    </row>
    <row r="129" spans="1:3" x14ac:dyDescent="0.3">
      <c r="A129" t="s">
        <v>104</v>
      </c>
      <c r="B129">
        <v>1</v>
      </c>
      <c r="C129" s="3">
        <f t="shared" si="1"/>
        <v>2.6881720430107529E-3</v>
      </c>
    </row>
    <row r="130" spans="1:3" x14ac:dyDescent="0.3">
      <c r="A130" t="s">
        <v>105</v>
      </c>
      <c r="B130">
        <v>1</v>
      </c>
      <c r="C130" s="3">
        <f t="shared" si="1"/>
        <v>2.6881720430107529E-3</v>
      </c>
    </row>
    <row r="131" spans="1:3" x14ac:dyDescent="0.3">
      <c r="A131" t="s">
        <v>108</v>
      </c>
      <c r="B131">
        <v>1</v>
      </c>
      <c r="C131" s="3">
        <f t="shared" ref="C131:C141" si="2">B131/372</f>
        <v>2.6881720430107529E-3</v>
      </c>
    </row>
    <row r="132" spans="1:3" x14ac:dyDescent="0.3">
      <c r="A132" t="s">
        <v>120</v>
      </c>
      <c r="B132">
        <v>1</v>
      </c>
      <c r="C132" s="3">
        <f t="shared" si="2"/>
        <v>2.6881720430107529E-3</v>
      </c>
    </row>
    <row r="133" spans="1:3" x14ac:dyDescent="0.3">
      <c r="A133" t="s">
        <v>121</v>
      </c>
      <c r="B133">
        <v>1</v>
      </c>
      <c r="C133" s="3">
        <f t="shared" si="2"/>
        <v>2.6881720430107529E-3</v>
      </c>
    </row>
    <row r="134" spans="1:3" x14ac:dyDescent="0.3">
      <c r="A134" t="s">
        <v>122</v>
      </c>
      <c r="B134">
        <v>1</v>
      </c>
      <c r="C134" s="3">
        <f t="shared" si="2"/>
        <v>2.6881720430107529E-3</v>
      </c>
    </row>
    <row r="135" spans="1:3" x14ac:dyDescent="0.3">
      <c r="A135" t="s">
        <v>124</v>
      </c>
      <c r="B135">
        <v>1</v>
      </c>
      <c r="C135" s="3">
        <f t="shared" si="2"/>
        <v>2.6881720430107529E-3</v>
      </c>
    </row>
    <row r="136" spans="1:3" x14ac:dyDescent="0.3">
      <c r="A136" t="s">
        <v>130</v>
      </c>
      <c r="B136">
        <v>1</v>
      </c>
      <c r="C136" s="3">
        <f t="shared" si="2"/>
        <v>2.6881720430107529E-3</v>
      </c>
    </row>
    <row r="137" spans="1:3" x14ac:dyDescent="0.3">
      <c r="A137" t="s">
        <v>131</v>
      </c>
      <c r="B137">
        <v>1</v>
      </c>
      <c r="C137" s="3">
        <f t="shared" si="2"/>
        <v>2.6881720430107529E-3</v>
      </c>
    </row>
    <row r="138" spans="1:3" x14ac:dyDescent="0.3">
      <c r="A138" t="s">
        <v>133</v>
      </c>
      <c r="B138">
        <v>1</v>
      </c>
      <c r="C138" s="3">
        <f t="shared" si="2"/>
        <v>2.6881720430107529E-3</v>
      </c>
    </row>
    <row r="139" spans="1:3" x14ac:dyDescent="0.3">
      <c r="A139" t="s">
        <v>141</v>
      </c>
      <c r="B139">
        <v>1</v>
      </c>
      <c r="C139" s="3">
        <f t="shared" si="2"/>
        <v>2.6881720430107529E-3</v>
      </c>
    </row>
    <row r="140" spans="1:3" x14ac:dyDescent="0.3">
      <c r="A140" t="s">
        <v>145</v>
      </c>
      <c r="B140">
        <v>1</v>
      </c>
      <c r="C140" s="3">
        <f t="shared" si="2"/>
        <v>2.6881720430107529E-3</v>
      </c>
    </row>
    <row r="141" spans="1:3" x14ac:dyDescent="0.3">
      <c r="A141" t="s">
        <v>148</v>
      </c>
      <c r="B141">
        <v>1</v>
      </c>
      <c r="C141" s="3">
        <f t="shared" si="2"/>
        <v>2.6881720430107529E-3</v>
      </c>
    </row>
  </sheetData>
  <sortState xmlns:xlrd2="http://schemas.microsoft.com/office/spreadsheetml/2017/richdata2" ref="A2:B141">
    <sortCondition descending="1" ref="B2:B14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10C1-1D5D-4A28-BDB2-E9EF119C326B}">
  <dimension ref="A3:R16"/>
  <sheetViews>
    <sheetView topLeftCell="F1" zoomScale="57" workbookViewId="0">
      <selection activeCell="A3" sqref="A3:R16"/>
    </sheetView>
  </sheetViews>
  <sheetFormatPr defaultRowHeight="14.4" x14ac:dyDescent="0.3"/>
  <cols>
    <col min="1" max="1" width="13.77734375" bestFit="1" customWidth="1"/>
    <col min="2" max="2" width="22" bestFit="1" customWidth="1"/>
    <col min="3" max="3" width="16.109375" bestFit="1" customWidth="1"/>
    <col min="4" max="4" width="15.109375" bestFit="1" customWidth="1"/>
    <col min="5" max="5" width="16.109375" bestFit="1" customWidth="1"/>
    <col min="6" max="6" width="16.33203125" bestFit="1" customWidth="1"/>
    <col min="7" max="7" width="10.88671875" bestFit="1" customWidth="1"/>
    <col min="8" max="8" width="12.6640625" bestFit="1" customWidth="1"/>
    <col min="9" max="9" width="13.21875" bestFit="1" customWidth="1"/>
    <col min="10" max="10" width="11.88671875" bestFit="1" customWidth="1"/>
    <col min="11" max="11" width="10.88671875" bestFit="1" customWidth="1"/>
    <col min="12" max="12" width="16.88671875" bestFit="1" customWidth="1"/>
    <col min="13" max="13" width="15.77734375" bestFit="1" customWidth="1"/>
    <col min="14" max="14" width="10" bestFit="1" customWidth="1"/>
    <col min="15" max="15" width="11.44140625" bestFit="1" customWidth="1"/>
    <col min="16" max="16" width="15.44140625" bestFit="1" customWidth="1"/>
    <col min="17" max="17" width="12.33203125" bestFit="1" customWidth="1"/>
    <col min="18" max="18" width="16.33203125" bestFit="1" customWidth="1"/>
  </cols>
  <sheetData>
    <row r="3" spans="1:18" x14ac:dyDescent="0.3">
      <c r="A3" s="13" t="s">
        <v>1417</v>
      </c>
      <c r="B3" t="s">
        <v>1440</v>
      </c>
      <c r="C3" t="s">
        <v>1423</v>
      </c>
      <c r="D3" t="s">
        <v>1426</v>
      </c>
      <c r="E3" t="s">
        <v>1424</v>
      </c>
      <c r="F3" t="s">
        <v>1430</v>
      </c>
      <c r="G3" t="s">
        <v>1434</v>
      </c>
      <c r="H3" t="s">
        <v>1437</v>
      </c>
      <c r="I3" t="s">
        <v>1438</v>
      </c>
      <c r="J3" t="s">
        <v>1433</v>
      </c>
      <c r="K3" t="s">
        <v>1435</v>
      </c>
      <c r="L3" t="s">
        <v>1436</v>
      </c>
      <c r="M3" t="s">
        <v>1429</v>
      </c>
      <c r="N3" t="s">
        <v>1439</v>
      </c>
      <c r="O3" t="s">
        <v>1427</v>
      </c>
      <c r="P3" t="s">
        <v>1425</v>
      </c>
      <c r="Q3" t="s">
        <v>1421</v>
      </c>
      <c r="R3" t="s">
        <v>1431</v>
      </c>
    </row>
    <row r="4" spans="1:18" x14ac:dyDescent="0.3">
      <c r="A4" s="14">
        <v>1999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</row>
    <row r="5" spans="1:18" x14ac:dyDescent="0.3">
      <c r="A5" s="14">
        <v>2007</v>
      </c>
      <c r="B5">
        <v>1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</row>
    <row r="6" spans="1:18" x14ac:dyDescent="0.3">
      <c r="A6" s="14">
        <v>2012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</row>
    <row r="7" spans="1:18" x14ac:dyDescent="0.3">
      <c r="A7" s="14">
        <v>2014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">
      <c r="A8" s="14">
        <v>2015</v>
      </c>
      <c r="B8">
        <v>2</v>
      </c>
      <c r="C8">
        <v>2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s="14">
        <v>2016</v>
      </c>
      <c r="B9">
        <v>15</v>
      </c>
      <c r="C9">
        <v>15</v>
      </c>
      <c r="D9">
        <v>6</v>
      </c>
      <c r="E9">
        <v>6</v>
      </c>
      <c r="F9">
        <v>3</v>
      </c>
      <c r="G9">
        <v>7</v>
      </c>
      <c r="H9">
        <v>4</v>
      </c>
      <c r="I9">
        <v>4</v>
      </c>
      <c r="J9">
        <v>5</v>
      </c>
      <c r="K9">
        <v>11</v>
      </c>
      <c r="L9">
        <v>10</v>
      </c>
      <c r="M9">
        <v>3</v>
      </c>
      <c r="N9">
        <v>3</v>
      </c>
      <c r="O9">
        <v>1</v>
      </c>
      <c r="P9">
        <v>6</v>
      </c>
      <c r="Q9">
        <v>8</v>
      </c>
      <c r="R9">
        <v>1</v>
      </c>
    </row>
    <row r="10" spans="1:18" x14ac:dyDescent="0.3">
      <c r="A10" s="14">
        <v>2017</v>
      </c>
      <c r="B10">
        <v>12</v>
      </c>
      <c r="C10">
        <v>12</v>
      </c>
      <c r="D10">
        <v>11</v>
      </c>
      <c r="E10">
        <v>11</v>
      </c>
      <c r="F10">
        <v>12</v>
      </c>
      <c r="G10">
        <v>10</v>
      </c>
      <c r="H10">
        <v>8</v>
      </c>
      <c r="I10">
        <v>8</v>
      </c>
      <c r="J10">
        <v>12</v>
      </c>
      <c r="K10">
        <v>9</v>
      </c>
      <c r="L10">
        <v>5</v>
      </c>
      <c r="M10">
        <v>9</v>
      </c>
      <c r="N10">
        <v>9</v>
      </c>
      <c r="O10">
        <v>8</v>
      </c>
      <c r="P10">
        <v>8</v>
      </c>
      <c r="Q10">
        <v>9</v>
      </c>
      <c r="R10">
        <v>2</v>
      </c>
    </row>
    <row r="11" spans="1:18" x14ac:dyDescent="0.3">
      <c r="A11" s="14">
        <v>2018</v>
      </c>
      <c r="B11">
        <v>16</v>
      </c>
      <c r="C11">
        <v>15</v>
      </c>
      <c r="D11">
        <v>15</v>
      </c>
      <c r="E11">
        <v>15</v>
      </c>
      <c r="F11">
        <v>16</v>
      </c>
      <c r="G11">
        <v>11</v>
      </c>
      <c r="H11">
        <v>7</v>
      </c>
      <c r="I11">
        <v>7</v>
      </c>
      <c r="J11">
        <v>15</v>
      </c>
      <c r="K11">
        <v>14</v>
      </c>
      <c r="L11">
        <v>13</v>
      </c>
      <c r="M11">
        <v>10</v>
      </c>
      <c r="N11">
        <v>10</v>
      </c>
      <c r="O11">
        <v>7</v>
      </c>
      <c r="P11">
        <v>13</v>
      </c>
      <c r="Q11">
        <v>12</v>
      </c>
      <c r="R11">
        <v>5</v>
      </c>
    </row>
    <row r="12" spans="1:18" x14ac:dyDescent="0.3">
      <c r="A12" s="14">
        <v>2019</v>
      </c>
      <c r="B12">
        <v>10</v>
      </c>
      <c r="C12">
        <v>10</v>
      </c>
      <c r="D12">
        <v>6</v>
      </c>
      <c r="E12">
        <v>6</v>
      </c>
      <c r="F12">
        <v>7</v>
      </c>
      <c r="G12">
        <v>7</v>
      </c>
      <c r="H12">
        <v>4</v>
      </c>
      <c r="I12">
        <v>4</v>
      </c>
      <c r="J12">
        <v>3</v>
      </c>
      <c r="K12">
        <v>3</v>
      </c>
      <c r="L12">
        <v>4</v>
      </c>
      <c r="M12">
        <v>2</v>
      </c>
      <c r="N12">
        <v>2</v>
      </c>
      <c r="O12">
        <v>3</v>
      </c>
      <c r="P12">
        <v>3</v>
      </c>
      <c r="Q12">
        <v>1</v>
      </c>
      <c r="R12">
        <v>3</v>
      </c>
    </row>
    <row r="13" spans="1:18" x14ac:dyDescent="0.3">
      <c r="A13" s="14">
        <v>2020</v>
      </c>
      <c r="B13">
        <v>15</v>
      </c>
      <c r="C13">
        <v>15</v>
      </c>
      <c r="D13">
        <v>8</v>
      </c>
      <c r="E13">
        <v>8</v>
      </c>
      <c r="F13">
        <v>8</v>
      </c>
      <c r="G13">
        <v>12</v>
      </c>
      <c r="H13">
        <v>11</v>
      </c>
      <c r="I13">
        <v>10</v>
      </c>
      <c r="J13">
        <v>5</v>
      </c>
      <c r="K13">
        <v>3</v>
      </c>
      <c r="L13">
        <v>4</v>
      </c>
      <c r="M13">
        <v>5</v>
      </c>
      <c r="N13">
        <v>5</v>
      </c>
      <c r="O13">
        <v>5</v>
      </c>
      <c r="P13">
        <v>7</v>
      </c>
      <c r="Q13">
        <v>4</v>
      </c>
      <c r="R13">
        <v>5</v>
      </c>
    </row>
    <row r="14" spans="1:18" x14ac:dyDescent="0.3">
      <c r="A14" s="14">
        <v>2021</v>
      </c>
      <c r="B14">
        <v>128</v>
      </c>
      <c r="C14">
        <v>128</v>
      </c>
      <c r="D14">
        <v>78</v>
      </c>
      <c r="E14">
        <v>78</v>
      </c>
      <c r="F14">
        <v>75</v>
      </c>
      <c r="G14">
        <v>46</v>
      </c>
      <c r="H14">
        <v>85</v>
      </c>
      <c r="I14">
        <v>84</v>
      </c>
      <c r="J14">
        <v>69</v>
      </c>
      <c r="K14">
        <v>31</v>
      </c>
      <c r="L14">
        <v>31</v>
      </c>
      <c r="M14">
        <v>41</v>
      </c>
      <c r="N14">
        <v>41</v>
      </c>
      <c r="O14">
        <v>67</v>
      </c>
      <c r="P14">
        <v>22</v>
      </c>
      <c r="Q14">
        <v>23</v>
      </c>
      <c r="R14">
        <v>55</v>
      </c>
    </row>
    <row r="15" spans="1:18" x14ac:dyDescent="0.3">
      <c r="A15" s="14">
        <v>2022</v>
      </c>
      <c r="B15">
        <v>44</v>
      </c>
      <c r="C15">
        <v>44</v>
      </c>
      <c r="D15">
        <v>19</v>
      </c>
      <c r="E15">
        <v>19</v>
      </c>
      <c r="F15">
        <v>29</v>
      </c>
      <c r="G15">
        <v>21</v>
      </c>
      <c r="H15">
        <v>19</v>
      </c>
      <c r="I15">
        <v>19</v>
      </c>
      <c r="J15">
        <v>8</v>
      </c>
      <c r="K15">
        <v>21</v>
      </c>
      <c r="L15">
        <v>20</v>
      </c>
      <c r="M15">
        <v>23</v>
      </c>
      <c r="N15">
        <v>23</v>
      </c>
      <c r="O15">
        <v>14</v>
      </c>
      <c r="P15">
        <v>10</v>
      </c>
      <c r="Q15">
        <v>16</v>
      </c>
      <c r="R15">
        <v>0</v>
      </c>
    </row>
    <row r="16" spans="1:18" x14ac:dyDescent="0.3">
      <c r="A16" s="14" t="s">
        <v>1419</v>
      </c>
      <c r="B16">
        <v>246</v>
      </c>
      <c r="C16">
        <v>245</v>
      </c>
      <c r="D16">
        <v>144</v>
      </c>
      <c r="E16">
        <v>144</v>
      </c>
      <c r="F16">
        <v>152</v>
      </c>
      <c r="G16">
        <v>118</v>
      </c>
      <c r="H16">
        <v>139</v>
      </c>
      <c r="I16">
        <v>137</v>
      </c>
      <c r="J16">
        <v>118</v>
      </c>
      <c r="K16">
        <v>94</v>
      </c>
      <c r="L16">
        <v>90</v>
      </c>
      <c r="M16">
        <v>93</v>
      </c>
      <c r="N16">
        <v>93</v>
      </c>
      <c r="O16">
        <v>105</v>
      </c>
      <c r="P16">
        <v>71</v>
      </c>
      <c r="Q16">
        <v>76</v>
      </c>
      <c r="R1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1BB5-467E-4AD1-BD1E-7B2A6350269E}">
  <dimension ref="A1:N46"/>
  <sheetViews>
    <sheetView topLeftCell="A18" workbookViewId="0">
      <selection activeCell="A29" sqref="A29:J46"/>
    </sheetView>
  </sheetViews>
  <sheetFormatPr defaultRowHeight="14.4" x14ac:dyDescent="0.3"/>
  <sheetData>
    <row r="1" spans="1:14" x14ac:dyDescent="0.3">
      <c r="A1" t="s">
        <v>1417</v>
      </c>
      <c r="B1" s="14">
        <v>1999</v>
      </c>
      <c r="C1" s="14">
        <v>2007</v>
      </c>
      <c r="D1" s="14">
        <v>2012</v>
      </c>
      <c r="E1" s="14">
        <v>2014</v>
      </c>
      <c r="F1" s="14">
        <v>2015</v>
      </c>
      <c r="G1" s="14">
        <v>2016</v>
      </c>
      <c r="H1" s="14">
        <v>2017</v>
      </c>
      <c r="I1" s="14">
        <v>2018</v>
      </c>
      <c r="J1" s="14">
        <v>2019</v>
      </c>
      <c r="K1" s="14">
        <v>2020</v>
      </c>
      <c r="L1" s="14">
        <v>2021</v>
      </c>
      <c r="M1" s="14">
        <v>2022</v>
      </c>
      <c r="N1" s="14" t="s">
        <v>1419</v>
      </c>
    </row>
    <row r="2" spans="1:14" x14ac:dyDescent="0.3">
      <c r="A2" t="s">
        <v>1440</v>
      </c>
      <c r="B2">
        <v>1</v>
      </c>
      <c r="C2">
        <v>1</v>
      </c>
      <c r="D2">
        <v>1</v>
      </c>
      <c r="E2">
        <v>1</v>
      </c>
      <c r="F2">
        <v>2</v>
      </c>
      <c r="G2">
        <v>15</v>
      </c>
      <c r="H2">
        <v>12</v>
      </c>
      <c r="I2">
        <v>16</v>
      </c>
      <c r="J2">
        <v>10</v>
      </c>
      <c r="K2">
        <v>15</v>
      </c>
      <c r="L2">
        <v>128</v>
      </c>
      <c r="M2">
        <v>44</v>
      </c>
      <c r="N2">
        <v>246</v>
      </c>
    </row>
    <row r="3" spans="1:14" x14ac:dyDescent="0.3">
      <c r="A3" t="s">
        <v>1423</v>
      </c>
      <c r="B3">
        <v>1</v>
      </c>
      <c r="C3">
        <v>1</v>
      </c>
      <c r="D3">
        <v>1</v>
      </c>
      <c r="E3">
        <v>1</v>
      </c>
      <c r="F3">
        <v>2</v>
      </c>
      <c r="G3">
        <v>15</v>
      </c>
      <c r="H3">
        <v>12</v>
      </c>
      <c r="I3">
        <v>15</v>
      </c>
      <c r="J3">
        <v>10</v>
      </c>
      <c r="K3">
        <v>15</v>
      </c>
      <c r="L3">
        <v>128</v>
      </c>
      <c r="M3">
        <v>44</v>
      </c>
      <c r="N3">
        <v>245</v>
      </c>
    </row>
    <row r="4" spans="1:14" x14ac:dyDescent="0.3">
      <c r="A4" t="s">
        <v>1426</v>
      </c>
      <c r="B4">
        <v>0</v>
      </c>
      <c r="C4">
        <v>0</v>
      </c>
      <c r="D4">
        <v>1</v>
      </c>
      <c r="E4">
        <v>0</v>
      </c>
      <c r="F4">
        <v>0</v>
      </c>
      <c r="G4">
        <v>6</v>
      </c>
      <c r="H4">
        <v>11</v>
      </c>
      <c r="I4">
        <v>15</v>
      </c>
      <c r="J4">
        <v>6</v>
      </c>
      <c r="K4">
        <v>8</v>
      </c>
      <c r="L4">
        <v>78</v>
      </c>
      <c r="M4">
        <v>19</v>
      </c>
      <c r="N4">
        <v>144</v>
      </c>
    </row>
    <row r="5" spans="1:14" x14ac:dyDescent="0.3">
      <c r="A5" t="s">
        <v>1424</v>
      </c>
      <c r="B5">
        <v>0</v>
      </c>
      <c r="C5">
        <v>0</v>
      </c>
      <c r="D5">
        <v>1</v>
      </c>
      <c r="E5">
        <v>0</v>
      </c>
      <c r="F5">
        <v>0</v>
      </c>
      <c r="G5">
        <v>6</v>
      </c>
      <c r="H5">
        <v>11</v>
      </c>
      <c r="I5">
        <v>15</v>
      </c>
      <c r="J5">
        <v>6</v>
      </c>
      <c r="K5">
        <v>8</v>
      </c>
      <c r="L5">
        <v>78</v>
      </c>
      <c r="M5">
        <v>19</v>
      </c>
      <c r="N5">
        <v>144</v>
      </c>
    </row>
    <row r="6" spans="1:14" x14ac:dyDescent="0.3">
      <c r="A6" t="s">
        <v>1430</v>
      </c>
      <c r="B6">
        <v>0</v>
      </c>
      <c r="C6">
        <v>1</v>
      </c>
      <c r="D6">
        <v>1</v>
      </c>
      <c r="E6">
        <v>0</v>
      </c>
      <c r="F6">
        <v>0</v>
      </c>
      <c r="G6">
        <v>3</v>
      </c>
      <c r="H6">
        <v>12</v>
      </c>
      <c r="I6">
        <v>16</v>
      </c>
      <c r="J6">
        <v>7</v>
      </c>
      <c r="K6">
        <v>8</v>
      </c>
      <c r="L6">
        <v>75</v>
      </c>
      <c r="M6">
        <v>29</v>
      </c>
      <c r="N6">
        <v>152</v>
      </c>
    </row>
    <row r="7" spans="1:14" x14ac:dyDescent="0.3">
      <c r="A7" t="s">
        <v>1434</v>
      </c>
      <c r="B7">
        <v>0</v>
      </c>
      <c r="C7">
        <v>0</v>
      </c>
      <c r="D7">
        <v>1</v>
      </c>
      <c r="E7">
        <v>1</v>
      </c>
      <c r="F7">
        <v>2</v>
      </c>
      <c r="G7">
        <v>7</v>
      </c>
      <c r="H7">
        <v>10</v>
      </c>
      <c r="I7">
        <v>11</v>
      </c>
      <c r="J7">
        <v>7</v>
      </c>
      <c r="K7">
        <v>12</v>
      </c>
      <c r="L7">
        <v>46</v>
      </c>
      <c r="M7">
        <v>21</v>
      </c>
      <c r="N7">
        <v>118</v>
      </c>
    </row>
    <row r="8" spans="1:14" x14ac:dyDescent="0.3">
      <c r="A8" t="s">
        <v>1437</v>
      </c>
      <c r="B8">
        <v>1</v>
      </c>
      <c r="C8">
        <v>0</v>
      </c>
      <c r="D8">
        <v>0</v>
      </c>
      <c r="E8">
        <v>0</v>
      </c>
      <c r="F8">
        <v>0</v>
      </c>
      <c r="G8">
        <v>4</v>
      </c>
      <c r="H8">
        <v>8</v>
      </c>
      <c r="I8">
        <v>7</v>
      </c>
      <c r="J8">
        <v>4</v>
      </c>
      <c r="K8">
        <v>11</v>
      </c>
      <c r="L8">
        <v>85</v>
      </c>
      <c r="M8">
        <v>19</v>
      </c>
      <c r="N8">
        <v>139</v>
      </c>
    </row>
    <row r="9" spans="1:14" x14ac:dyDescent="0.3">
      <c r="A9" t="s">
        <v>1438</v>
      </c>
      <c r="B9">
        <v>1</v>
      </c>
      <c r="C9">
        <v>0</v>
      </c>
      <c r="D9">
        <v>0</v>
      </c>
      <c r="E9">
        <v>0</v>
      </c>
      <c r="F9">
        <v>0</v>
      </c>
      <c r="G9">
        <v>4</v>
      </c>
      <c r="H9">
        <v>8</v>
      </c>
      <c r="I9">
        <v>7</v>
      </c>
      <c r="J9">
        <v>4</v>
      </c>
      <c r="K9">
        <v>10</v>
      </c>
      <c r="L9">
        <v>84</v>
      </c>
      <c r="M9">
        <v>19</v>
      </c>
      <c r="N9">
        <v>137</v>
      </c>
    </row>
    <row r="10" spans="1:14" x14ac:dyDescent="0.3">
      <c r="A10" t="s">
        <v>1433</v>
      </c>
      <c r="B10">
        <v>0</v>
      </c>
      <c r="C10">
        <v>0</v>
      </c>
      <c r="D10">
        <v>1</v>
      </c>
      <c r="E10">
        <v>0</v>
      </c>
      <c r="F10">
        <v>0</v>
      </c>
      <c r="G10">
        <v>5</v>
      </c>
      <c r="H10">
        <v>12</v>
      </c>
      <c r="I10">
        <v>15</v>
      </c>
      <c r="J10">
        <v>3</v>
      </c>
      <c r="K10">
        <v>5</v>
      </c>
      <c r="L10">
        <v>69</v>
      </c>
      <c r="M10">
        <v>8</v>
      </c>
      <c r="N10">
        <v>118</v>
      </c>
    </row>
    <row r="11" spans="1:14" x14ac:dyDescent="0.3">
      <c r="A11" t="s">
        <v>1435</v>
      </c>
      <c r="B11">
        <v>0</v>
      </c>
      <c r="C11">
        <v>1</v>
      </c>
      <c r="D11">
        <v>1</v>
      </c>
      <c r="E11">
        <v>0</v>
      </c>
      <c r="F11">
        <v>0</v>
      </c>
      <c r="G11">
        <v>11</v>
      </c>
      <c r="H11">
        <v>9</v>
      </c>
      <c r="I11">
        <v>14</v>
      </c>
      <c r="J11">
        <v>3</v>
      </c>
      <c r="K11">
        <v>3</v>
      </c>
      <c r="L11">
        <v>31</v>
      </c>
      <c r="M11">
        <v>21</v>
      </c>
      <c r="N11">
        <v>94</v>
      </c>
    </row>
    <row r="12" spans="1:14" x14ac:dyDescent="0.3">
      <c r="A12" t="s">
        <v>1436</v>
      </c>
      <c r="B12">
        <v>1</v>
      </c>
      <c r="C12">
        <v>1</v>
      </c>
      <c r="D12">
        <v>1</v>
      </c>
      <c r="E12">
        <v>0</v>
      </c>
      <c r="F12">
        <v>0</v>
      </c>
      <c r="G12">
        <v>10</v>
      </c>
      <c r="H12">
        <v>5</v>
      </c>
      <c r="I12">
        <v>13</v>
      </c>
      <c r="J12">
        <v>4</v>
      </c>
      <c r="K12">
        <v>4</v>
      </c>
      <c r="L12">
        <v>31</v>
      </c>
      <c r="M12">
        <v>20</v>
      </c>
      <c r="N12">
        <v>90</v>
      </c>
    </row>
    <row r="13" spans="1:14" x14ac:dyDescent="0.3">
      <c r="A13" t="s">
        <v>1429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9</v>
      </c>
      <c r="I13">
        <v>10</v>
      </c>
      <c r="J13">
        <v>2</v>
      </c>
      <c r="K13">
        <v>5</v>
      </c>
      <c r="L13">
        <v>41</v>
      </c>
      <c r="M13">
        <v>23</v>
      </c>
      <c r="N13">
        <v>93</v>
      </c>
    </row>
    <row r="14" spans="1:14" x14ac:dyDescent="0.3">
      <c r="A14" t="s">
        <v>1439</v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9</v>
      </c>
      <c r="I14">
        <v>10</v>
      </c>
      <c r="J14">
        <v>2</v>
      </c>
      <c r="K14">
        <v>5</v>
      </c>
      <c r="L14">
        <v>41</v>
      </c>
      <c r="M14">
        <v>23</v>
      </c>
      <c r="N14">
        <v>93</v>
      </c>
    </row>
    <row r="15" spans="1:14" x14ac:dyDescent="0.3">
      <c r="A15" t="s">
        <v>1427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8</v>
      </c>
      <c r="I15">
        <v>7</v>
      </c>
      <c r="J15">
        <v>3</v>
      </c>
      <c r="K15">
        <v>5</v>
      </c>
      <c r="L15">
        <v>67</v>
      </c>
      <c r="M15">
        <v>14</v>
      </c>
      <c r="N15">
        <v>105</v>
      </c>
    </row>
    <row r="16" spans="1:14" x14ac:dyDescent="0.3">
      <c r="A16" t="s">
        <v>1425</v>
      </c>
      <c r="B16">
        <v>1</v>
      </c>
      <c r="C16">
        <v>0</v>
      </c>
      <c r="D16">
        <v>1</v>
      </c>
      <c r="E16">
        <v>0</v>
      </c>
      <c r="F16">
        <v>0</v>
      </c>
      <c r="G16">
        <v>6</v>
      </c>
      <c r="H16">
        <v>8</v>
      </c>
      <c r="I16">
        <v>13</v>
      </c>
      <c r="J16">
        <v>3</v>
      </c>
      <c r="K16">
        <v>7</v>
      </c>
      <c r="L16">
        <v>22</v>
      </c>
      <c r="M16">
        <v>10</v>
      </c>
      <c r="N16">
        <v>71</v>
      </c>
    </row>
    <row r="17" spans="1:14" x14ac:dyDescent="0.3">
      <c r="A17" t="s">
        <v>1421</v>
      </c>
      <c r="B17">
        <v>1</v>
      </c>
      <c r="C17">
        <v>1</v>
      </c>
      <c r="D17">
        <v>1</v>
      </c>
      <c r="E17">
        <v>0</v>
      </c>
      <c r="F17">
        <v>0</v>
      </c>
      <c r="G17">
        <v>8</v>
      </c>
      <c r="H17">
        <v>9</v>
      </c>
      <c r="I17">
        <v>12</v>
      </c>
      <c r="J17">
        <v>1</v>
      </c>
      <c r="K17">
        <v>4</v>
      </c>
      <c r="L17">
        <v>23</v>
      </c>
      <c r="M17">
        <v>16</v>
      </c>
      <c r="N17">
        <v>76</v>
      </c>
    </row>
    <row r="18" spans="1:14" x14ac:dyDescent="0.3">
      <c r="A18" t="s">
        <v>1431</v>
      </c>
      <c r="B18">
        <v>0</v>
      </c>
      <c r="C18">
        <v>0</v>
      </c>
      <c r="D18">
        <v>1</v>
      </c>
      <c r="E18">
        <v>0</v>
      </c>
      <c r="F18">
        <v>0</v>
      </c>
      <c r="G18">
        <v>1</v>
      </c>
      <c r="H18">
        <v>2</v>
      </c>
      <c r="I18">
        <v>5</v>
      </c>
      <c r="J18">
        <v>3</v>
      </c>
      <c r="K18">
        <v>5</v>
      </c>
      <c r="L18">
        <v>55</v>
      </c>
      <c r="M18">
        <v>0</v>
      </c>
      <c r="N18">
        <v>72</v>
      </c>
    </row>
    <row r="28" spans="1:14" ht="15" thickBot="1" x14ac:dyDescent="0.35"/>
    <row r="29" spans="1:14" ht="28.2" thickBot="1" x14ac:dyDescent="0.35">
      <c r="A29" s="18" t="s">
        <v>1453</v>
      </c>
      <c r="B29" s="18" t="s">
        <v>1458</v>
      </c>
      <c r="C29" s="18">
        <v>2016</v>
      </c>
      <c r="D29" s="18">
        <v>2017</v>
      </c>
      <c r="E29" s="18">
        <v>2018</v>
      </c>
      <c r="F29" s="18">
        <v>2019</v>
      </c>
      <c r="G29" s="18">
        <v>2020</v>
      </c>
      <c r="H29" s="18">
        <v>2021</v>
      </c>
      <c r="I29" s="18">
        <v>2022</v>
      </c>
      <c r="J29" s="18" t="s">
        <v>1419</v>
      </c>
    </row>
    <row r="30" spans="1:14" ht="42" thickBot="1" x14ac:dyDescent="0.35">
      <c r="A30" s="18" t="s">
        <v>1452</v>
      </c>
      <c r="B30" s="19">
        <v>6</v>
      </c>
      <c r="C30" s="19">
        <v>15</v>
      </c>
      <c r="D30" s="19">
        <v>12</v>
      </c>
      <c r="E30" s="19">
        <v>16</v>
      </c>
      <c r="F30" s="19">
        <v>10</v>
      </c>
      <c r="G30" s="19">
        <v>15</v>
      </c>
      <c r="H30" s="19">
        <v>128</v>
      </c>
      <c r="I30" s="19">
        <v>44</v>
      </c>
      <c r="J30" s="18">
        <v>246</v>
      </c>
    </row>
    <row r="31" spans="1:14" ht="29.4" thickBot="1" x14ac:dyDescent="0.35">
      <c r="A31" s="20" t="s">
        <v>33</v>
      </c>
      <c r="B31" s="19">
        <v>6</v>
      </c>
      <c r="C31" s="19">
        <v>15</v>
      </c>
      <c r="D31" s="19">
        <v>12</v>
      </c>
      <c r="E31" s="19">
        <v>15</v>
      </c>
      <c r="F31" s="19">
        <v>10</v>
      </c>
      <c r="G31" s="19">
        <v>15</v>
      </c>
      <c r="H31" s="19">
        <v>128</v>
      </c>
      <c r="I31" s="19">
        <v>44</v>
      </c>
      <c r="J31" s="18">
        <v>245</v>
      </c>
    </row>
    <row r="32" spans="1:14" ht="29.4" thickBot="1" x14ac:dyDescent="0.35">
      <c r="A32" s="20" t="s">
        <v>103</v>
      </c>
      <c r="B32" s="19">
        <v>2</v>
      </c>
      <c r="C32" s="19">
        <v>3</v>
      </c>
      <c r="D32" s="19">
        <v>12</v>
      </c>
      <c r="E32" s="19">
        <v>16</v>
      </c>
      <c r="F32" s="19">
        <v>7</v>
      </c>
      <c r="G32" s="19">
        <v>8</v>
      </c>
      <c r="H32" s="19">
        <v>75</v>
      </c>
      <c r="I32" s="19">
        <v>29</v>
      </c>
      <c r="J32" s="18">
        <v>152</v>
      </c>
    </row>
    <row r="33" spans="1:10" ht="29.4" thickBot="1" x14ac:dyDescent="0.35">
      <c r="A33" s="20" t="s">
        <v>40</v>
      </c>
      <c r="B33" s="19">
        <v>1</v>
      </c>
      <c r="C33" s="19">
        <v>6</v>
      </c>
      <c r="D33" s="19">
        <v>11</v>
      </c>
      <c r="E33" s="19">
        <v>15</v>
      </c>
      <c r="F33" s="19">
        <v>6</v>
      </c>
      <c r="G33" s="19">
        <v>8</v>
      </c>
      <c r="H33" s="19">
        <v>78</v>
      </c>
      <c r="I33" s="19">
        <v>19</v>
      </c>
      <c r="J33" s="18">
        <v>144</v>
      </c>
    </row>
    <row r="34" spans="1:10" ht="29.4" thickBot="1" x14ac:dyDescent="0.35">
      <c r="A34" s="20" t="s">
        <v>34</v>
      </c>
      <c r="B34" s="19">
        <v>1</v>
      </c>
      <c r="C34" s="19">
        <v>6</v>
      </c>
      <c r="D34" s="19">
        <v>11</v>
      </c>
      <c r="E34" s="19">
        <v>15</v>
      </c>
      <c r="F34" s="19">
        <v>6</v>
      </c>
      <c r="G34" s="19">
        <v>8</v>
      </c>
      <c r="H34" s="19">
        <v>78</v>
      </c>
      <c r="I34" s="19">
        <v>19</v>
      </c>
      <c r="J34" s="18">
        <v>144</v>
      </c>
    </row>
    <row r="35" spans="1:10" ht="15" thickBot="1" x14ac:dyDescent="0.35">
      <c r="A35" s="20" t="s">
        <v>151</v>
      </c>
      <c r="B35" s="19">
        <v>1</v>
      </c>
      <c r="C35" s="19">
        <v>4</v>
      </c>
      <c r="D35" s="19">
        <v>8</v>
      </c>
      <c r="E35" s="19">
        <v>7</v>
      </c>
      <c r="F35" s="19">
        <v>4</v>
      </c>
      <c r="G35" s="19">
        <v>11</v>
      </c>
      <c r="H35" s="19">
        <v>85</v>
      </c>
      <c r="I35" s="19">
        <v>19</v>
      </c>
      <c r="J35" s="18">
        <v>139</v>
      </c>
    </row>
    <row r="36" spans="1:10" ht="15" thickBot="1" x14ac:dyDescent="0.35">
      <c r="A36" s="20" t="s">
        <v>150</v>
      </c>
      <c r="B36" s="19">
        <v>1</v>
      </c>
      <c r="C36" s="19">
        <v>4</v>
      </c>
      <c r="D36" s="19">
        <v>8</v>
      </c>
      <c r="E36" s="19">
        <v>7</v>
      </c>
      <c r="F36" s="19">
        <v>4</v>
      </c>
      <c r="G36" s="19">
        <v>10</v>
      </c>
      <c r="H36" s="19">
        <v>84</v>
      </c>
      <c r="I36" s="19">
        <v>19</v>
      </c>
      <c r="J36" s="18">
        <v>137</v>
      </c>
    </row>
    <row r="37" spans="1:10" ht="15" thickBot="1" x14ac:dyDescent="0.35">
      <c r="A37" s="20" t="s">
        <v>156</v>
      </c>
      <c r="B37" s="19">
        <v>4</v>
      </c>
      <c r="C37" s="19">
        <v>7</v>
      </c>
      <c r="D37" s="19">
        <v>10</v>
      </c>
      <c r="E37" s="19">
        <v>11</v>
      </c>
      <c r="F37" s="19">
        <v>7</v>
      </c>
      <c r="G37" s="19">
        <v>12</v>
      </c>
      <c r="H37" s="19">
        <v>46</v>
      </c>
      <c r="I37" s="19">
        <v>21</v>
      </c>
      <c r="J37" s="18">
        <v>118</v>
      </c>
    </row>
    <row r="38" spans="1:10" ht="15" thickBot="1" x14ac:dyDescent="0.35">
      <c r="A38" s="20" t="s">
        <v>159</v>
      </c>
      <c r="B38" s="19">
        <v>1</v>
      </c>
      <c r="C38" s="19">
        <v>5</v>
      </c>
      <c r="D38" s="19">
        <v>12</v>
      </c>
      <c r="E38" s="19">
        <v>15</v>
      </c>
      <c r="F38" s="19">
        <v>3</v>
      </c>
      <c r="G38" s="19">
        <v>5</v>
      </c>
      <c r="H38" s="19">
        <v>69</v>
      </c>
      <c r="I38" s="19">
        <v>8</v>
      </c>
      <c r="J38" s="18">
        <v>118</v>
      </c>
    </row>
    <row r="39" spans="1:10" ht="15" thickBot="1" x14ac:dyDescent="0.35">
      <c r="A39" s="20" t="s">
        <v>41</v>
      </c>
      <c r="B39" s="19">
        <v>0</v>
      </c>
      <c r="C39" s="19">
        <v>1</v>
      </c>
      <c r="D39" s="19">
        <v>8</v>
      </c>
      <c r="E39" s="19">
        <v>7</v>
      </c>
      <c r="F39" s="19">
        <v>3</v>
      </c>
      <c r="G39" s="19">
        <v>5</v>
      </c>
      <c r="H39" s="19">
        <v>67</v>
      </c>
      <c r="I39" s="19">
        <v>14</v>
      </c>
      <c r="J39" s="18">
        <v>105</v>
      </c>
    </row>
    <row r="40" spans="1:10" ht="15" thickBot="1" x14ac:dyDescent="0.35">
      <c r="A40" s="20" t="s">
        <v>155</v>
      </c>
      <c r="B40" s="19">
        <v>2</v>
      </c>
      <c r="C40" s="19">
        <v>11</v>
      </c>
      <c r="D40" s="19">
        <v>9</v>
      </c>
      <c r="E40" s="19">
        <v>14</v>
      </c>
      <c r="F40" s="19">
        <v>3</v>
      </c>
      <c r="G40" s="19">
        <v>3</v>
      </c>
      <c r="H40" s="19">
        <v>31</v>
      </c>
      <c r="I40" s="19">
        <v>21</v>
      </c>
      <c r="J40" s="18">
        <v>94</v>
      </c>
    </row>
    <row r="41" spans="1:10" ht="29.4" thickBot="1" x14ac:dyDescent="0.35">
      <c r="A41" s="20" t="s">
        <v>92</v>
      </c>
      <c r="B41" s="19">
        <v>0</v>
      </c>
      <c r="C41" s="19">
        <v>3</v>
      </c>
      <c r="D41" s="19">
        <v>9</v>
      </c>
      <c r="E41" s="19">
        <v>10</v>
      </c>
      <c r="F41" s="19">
        <v>2</v>
      </c>
      <c r="G41" s="19">
        <v>5</v>
      </c>
      <c r="H41" s="19">
        <v>41</v>
      </c>
      <c r="I41" s="19">
        <v>23</v>
      </c>
      <c r="J41" s="18">
        <v>93</v>
      </c>
    </row>
    <row r="42" spans="1:10" ht="15" thickBot="1" x14ac:dyDescent="0.35">
      <c r="A42" s="20" t="s">
        <v>134</v>
      </c>
      <c r="B42" s="19">
        <v>0</v>
      </c>
      <c r="C42" s="19">
        <v>3</v>
      </c>
      <c r="D42" s="19">
        <v>9</v>
      </c>
      <c r="E42" s="19">
        <v>10</v>
      </c>
      <c r="F42" s="19">
        <v>2</v>
      </c>
      <c r="G42" s="19">
        <v>5</v>
      </c>
      <c r="H42" s="19">
        <v>41</v>
      </c>
      <c r="I42" s="19">
        <v>23</v>
      </c>
      <c r="J42" s="18">
        <v>93</v>
      </c>
    </row>
    <row r="43" spans="1:10" ht="29.4" thickBot="1" x14ac:dyDescent="0.35">
      <c r="A43" s="20" t="s">
        <v>1457</v>
      </c>
      <c r="B43" s="19">
        <v>4</v>
      </c>
      <c r="C43" s="19">
        <v>10</v>
      </c>
      <c r="D43" s="19">
        <v>5</v>
      </c>
      <c r="E43" s="19">
        <v>13</v>
      </c>
      <c r="F43" s="19">
        <v>4</v>
      </c>
      <c r="G43" s="19">
        <v>4</v>
      </c>
      <c r="H43" s="19">
        <v>31</v>
      </c>
      <c r="I43" s="19">
        <v>20</v>
      </c>
      <c r="J43" s="18">
        <v>90</v>
      </c>
    </row>
    <row r="44" spans="1:10" ht="15" thickBot="1" x14ac:dyDescent="0.35">
      <c r="A44" s="20" t="s">
        <v>30</v>
      </c>
      <c r="B44" s="19">
        <v>4</v>
      </c>
      <c r="C44" s="19">
        <v>8</v>
      </c>
      <c r="D44" s="19">
        <v>9</v>
      </c>
      <c r="E44" s="19">
        <v>12</v>
      </c>
      <c r="F44" s="19">
        <v>1</v>
      </c>
      <c r="G44" s="19">
        <v>4</v>
      </c>
      <c r="H44" s="19">
        <v>23</v>
      </c>
      <c r="I44" s="19">
        <v>16</v>
      </c>
      <c r="J44" s="18">
        <v>76</v>
      </c>
    </row>
    <row r="45" spans="1:10" ht="29.4" thickBot="1" x14ac:dyDescent="0.35">
      <c r="A45" s="20" t="s">
        <v>115</v>
      </c>
      <c r="B45" s="19">
        <v>1</v>
      </c>
      <c r="C45" s="19">
        <v>1</v>
      </c>
      <c r="D45" s="19">
        <v>2</v>
      </c>
      <c r="E45" s="19">
        <v>5</v>
      </c>
      <c r="F45" s="19">
        <v>3</v>
      </c>
      <c r="G45" s="19">
        <v>5</v>
      </c>
      <c r="H45" s="19">
        <v>55</v>
      </c>
      <c r="I45" s="19">
        <v>0</v>
      </c>
      <c r="J45" s="18">
        <v>72</v>
      </c>
    </row>
    <row r="46" spans="1:10" ht="29.4" thickBot="1" x14ac:dyDescent="0.35">
      <c r="A46" s="20" t="s">
        <v>35</v>
      </c>
      <c r="B46" s="19">
        <v>2</v>
      </c>
      <c r="C46" s="19">
        <v>6</v>
      </c>
      <c r="D46" s="19">
        <v>8</v>
      </c>
      <c r="E46" s="19">
        <v>13</v>
      </c>
      <c r="F46" s="19">
        <v>3</v>
      </c>
      <c r="G46" s="19">
        <v>7</v>
      </c>
      <c r="H46" s="19">
        <v>22</v>
      </c>
      <c r="I46" s="19">
        <v>10</v>
      </c>
      <c r="J46" s="18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6409-CF1E-4CF7-B255-69C1AE4E32AD}">
  <dimension ref="A3:W129"/>
  <sheetViews>
    <sheetView zoomScale="51" zoomScaleNormal="60" workbookViewId="0">
      <selection activeCell="F30" sqref="F30"/>
    </sheetView>
  </sheetViews>
  <sheetFormatPr defaultRowHeight="14.4" x14ac:dyDescent="0.3"/>
  <cols>
    <col min="1" max="1" width="11.88671875" bestFit="1" customWidth="1"/>
    <col min="2" max="2" width="13.109375" bestFit="1" customWidth="1"/>
    <col min="3" max="3" width="15.77734375" bestFit="1" customWidth="1"/>
    <col min="4" max="4" width="14.88671875" bestFit="1" customWidth="1"/>
    <col min="5" max="5" width="15.77734375" bestFit="1" customWidth="1"/>
    <col min="6" max="6" width="16" bestFit="1" customWidth="1"/>
    <col min="7" max="7" width="10.44140625" bestFit="1" customWidth="1"/>
    <col min="8" max="8" width="12.5546875" bestFit="1" customWidth="1"/>
    <col min="9" max="9" width="13.21875" bestFit="1" customWidth="1"/>
    <col min="10" max="10" width="11.77734375" bestFit="1" customWidth="1"/>
    <col min="11" max="11" width="10.44140625" bestFit="1" customWidth="1"/>
    <col min="12" max="12" width="16.5546875" bestFit="1" customWidth="1"/>
    <col min="13" max="13" width="15.44140625" bestFit="1" customWidth="1"/>
    <col min="14" max="14" width="9.6640625" bestFit="1" customWidth="1"/>
    <col min="15" max="15" width="11.44140625" bestFit="1" customWidth="1"/>
    <col min="16" max="16" width="15.21875" bestFit="1" customWidth="1"/>
    <col min="17" max="17" width="12.21875" bestFit="1" customWidth="1"/>
    <col min="18" max="18" width="16" bestFit="1" customWidth="1"/>
    <col min="19" max="19" width="15.21875" bestFit="1" customWidth="1"/>
    <col min="20" max="20" width="14.6640625" bestFit="1" customWidth="1"/>
    <col min="21" max="21" width="16" bestFit="1" customWidth="1"/>
    <col min="22" max="22" width="13.33203125" bestFit="1" customWidth="1"/>
  </cols>
  <sheetData>
    <row r="3" spans="1:22" x14ac:dyDescent="0.3">
      <c r="A3" s="13" t="s">
        <v>1442</v>
      </c>
      <c r="B3" t="s">
        <v>1443</v>
      </c>
      <c r="C3" t="s">
        <v>1423</v>
      </c>
      <c r="D3" t="s">
        <v>1426</v>
      </c>
      <c r="E3" t="s">
        <v>1424</v>
      </c>
      <c r="F3" t="s">
        <v>1430</v>
      </c>
      <c r="G3" t="s">
        <v>1434</v>
      </c>
      <c r="H3" t="s">
        <v>1437</v>
      </c>
      <c r="I3" t="s">
        <v>1438</v>
      </c>
      <c r="J3" t="s">
        <v>1433</v>
      </c>
      <c r="K3" t="s">
        <v>1435</v>
      </c>
      <c r="L3" t="s">
        <v>1436</v>
      </c>
      <c r="M3" t="s">
        <v>1429</v>
      </c>
      <c r="N3" t="s">
        <v>1439</v>
      </c>
      <c r="O3" t="s">
        <v>1427</v>
      </c>
      <c r="P3" t="s">
        <v>1425</v>
      </c>
      <c r="Q3" t="s">
        <v>1421</v>
      </c>
      <c r="R3" t="s">
        <v>1431</v>
      </c>
      <c r="S3" t="s">
        <v>1422</v>
      </c>
      <c r="T3" t="s">
        <v>1420</v>
      </c>
      <c r="U3" t="s">
        <v>1432</v>
      </c>
      <c r="V3" t="s">
        <v>1428</v>
      </c>
    </row>
    <row r="4" spans="1:22" x14ac:dyDescent="0.3">
      <c r="A4" s="14">
        <v>1</v>
      </c>
      <c r="B4">
        <v>64</v>
      </c>
      <c r="C4">
        <v>63</v>
      </c>
      <c r="D4">
        <v>52</v>
      </c>
      <c r="E4">
        <v>52</v>
      </c>
      <c r="F4">
        <v>57</v>
      </c>
      <c r="G4">
        <v>51</v>
      </c>
      <c r="H4">
        <v>29</v>
      </c>
      <c r="I4">
        <v>29</v>
      </c>
      <c r="J4">
        <v>48</v>
      </c>
      <c r="K4">
        <v>59</v>
      </c>
      <c r="L4">
        <v>55</v>
      </c>
      <c r="M4">
        <v>49</v>
      </c>
      <c r="N4">
        <v>49</v>
      </c>
      <c r="O4">
        <v>28</v>
      </c>
      <c r="P4">
        <v>47</v>
      </c>
      <c r="Q4">
        <v>59</v>
      </c>
      <c r="R4">
        <v>0</v>
      </c>
      <c r="S4">
        <v>16</v>
      </c>
      <c r="T4">
        <v>57</v>
      </c>
      <c r="U4">
        <v>64</v>
      </c>
      <c r="V4">
        <v>36</v>
      </c>
    </row>
    <row r="5" spans="1:22" x14ac:dyDescent="0.3">
      <c r="A5" s="14">
        <v>2</v>
      </c>
      <c r="B5">
        <v>101</v>
      </c>
      <c r="C5">
        <v>101</v>
      </c>
      <c r="D5">
        <v>99</v>
      </c>
      <c r="E5">
        <v>99</v>
      </c>
      <c r="F5">
        <v>87</v>
      </c>
      <c r="G5">
        <v>36</v>
      </c>
      <c r="H5">
        <v>78</v>
      </c>
      <c r="I5">
        <v>76</v>
      </c>
      <c r="J5">
        <v>90</v>
      </c>
      <c r="K5">
        <v>44</v>
      </c>
      <c r="L5">
        <v>46</v>
      </c>
      <c r="M5">
        <v>13</v>
      </c>
      <c r="N5">
        <v>13</v>
      </c>
      <c r="O5">
        <v>74</v>
      </c>
      <c r="P5">
        <v>42</v>
      </c>
      <c r="Q5">
        <v>32</v>
      </c>
      <c r="R5">
        <v>99</v>
      </c>
      <c r="S5">
        <v>1</v>
      </c>
      <c r="T5">
        <v>20</v>
      </c>
      <c r="U5">
        <v>0</v>
      </c>
      <c r="V5">
        <v>3</v>
      </c>
    </row>
    <row r="6" spans="1:22" x14ac:dyDescent="0.3">
      <c r="A6" s="14">
        <v>10</v>
      </c>
      <c r="B6">
        <v>11</v>
      </c>
      <c r="C6">
        <v>11</v>
      </c>
      <c r="D6">
        <v>1</v>
      </c>
      <c r="E6">
        <v>1</v>
      </c>
      <c r="F6">
        <v>9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6</v>
      </c>
      <c r="T6">
        <v>0</v>
      </c>
      <c r="U6">
        <v>0</v>
      </c>
      <c r="V6">
        <v>6</v>
      </c>
    </row>
    <row r="7" spans="1:22" x14ac:dyDescent="0.3">
      <c r="A7" s="14">
        <v>16</v>
      </c>
      <c r="B7">
        <v>3</v>
      </c>
      <c r="C7">
        <v>3</v>
      </c>
      <c r="D7">
        <v>3</v>
      </c>
      <c r="E7">
        <v>1</v>
      </c>
      <c r="F7">
        <v>0</v>
      </c>
      <c r="G7">
        <v>3</v>
      </c>
      <c r="H7">
        <v>3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</row>
    <row r="8" spans="1:22" x14ac:dyDescent="0.3">
      <c r="A8" s="14">
        <v>19</v>
      </c>
      <c r="B8">
        <v>2</v>
      </c>
      <c r="C8">
        <v>2</v>
      </c>
      <c r="D8">
        <v>0</v>
      </c>
      <c r="E8">
        <v>0</v>
      </c>
      <c r="F8">
        <v>2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2</v>
      </c>
      <c r="V8">
        <v>0</v>
      </c>
    </row>
    <row r="9" spans="1:22" x14ac:dyDescent="0.3">
      <c r="A9" s="14">
        <v>25</v>
      </c>
      <c r="B9">
        <v>11</v>
      </c>
      <c r="C9">
        <v>11</v>
      </c>
      <c r="D9">
        <v>10</v>
      </c>
      <c r="E9">
        <v>10</v>
      </c>
      <c r="F9">
        <v>11</v>
      </c>
      <c r="G9">
        <v>11</v>
      </c>
      <c r="H9">
        <v>6</v>
      </c>
      <c r="I9">
        <v>6</v>
      </c>
      <c r="J9">
        <v>4</v>
      </c>
      <c r="K9">
        <v>6</v>
      </c>
      <c r="L9">
        <v>4</v>
      </c>
      <c r="M9">
        <v>0</v>
      </c>
      <c r="N9">
        <v>0</v>
      </c>
      <c r="O9">
        <v>6</v>
      </c>
      <c r="P9">
        <v>5</v>
      </c>
      <c r="Q9">
        <v>0</v>
      </c>
      <c r="R9">
        <v>0</v>
      </c>
      <c r="S9">
        <v>5</v>
      </c>
      <c r="T9">
        <v>0</v>
      </c>
      <c r="U9">
        <v>0</v>
      </c>
      <c r="V9">
        <v>0</v>
      </c>
    </row>
    <row r="10" spans="1:22" x14ac:dyDescent="0.3">
      <c r="A10" s="14">
        <v>32</v>
      </c>
      <c r="B10">
        <v>9</v>
      </c>
      <c r="C10">
        <v>9</v>
      </c>
      <c r="D10">
        <v>5</v>
      </c>
      <c r="E10">
        <v>5</v>
      </c>
      <c r="F10">
        <v>0</v>
      </c>
      <c r="G10">
        <v>5</v>
      </c>
      <c r="H10">
        <v>4</v>
      </c>
      <c r="I10">
        <v>4</v>
      </c>
      <c r="J10">
        <v>0</v>
      </c>
      <c r="K10">
        <v>0</v>
      </c>
      <c r="L10">
        <v>0</v>
      </c>
      <c r="M10">
        <v>5</v>
      </c>
      <c r="N10">
        <v>5</v>
      </c>
      <c r="O10">
        <v>0</v>
      </c>
      <c r="P10">
        <v>4</v>
      </c>
      <c r="Q10">
        <v>0</v>
      </c>
      <c r="R10">
        <v>0</v>
      </c>
      <c r="S10">
        <v>5</v>
      </c>
      <c r="T10">
        <v>0</v>
      </c>
      <c r="U10">
        <v>0</v>
      </c>
      <c r="V10">
        <v>1</v>
      </c>
    </row>
    <row r="11" spans="1:22" x14ac:dyDescent="0.3">
      <c r="A11" s="14">
        <v>52</v>
      </c>
      <c r="B11">
        <v>2</v>
      </c>
      <c r="C11">
        <v>2</v>
      </c>
      <c r="D11">
        <v>1</v>
      </c>
      <c r="E11">
        <v>1</v>
      </c>
      <c r="F11">
        <v>0</v>
      </c>
      <c r="G11">
        <v>2</v>
      </c>
      <c r="H11">
        <v>1</v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</row>
    <row r="12" spans="1:22" x14ac:dyDescent="0.3">
      <c r="A12" s="14">
        <v>54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</row>
    <row r="13" spans="1:22" x14ac:dyDescent="0.3">
      <c r="A13" s="14">
        <v>78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</row>
    <row r="14" spans="1:22" x14ac:dyDescent="0.3">
      <c r="A14" s="14">
        <v>85</v>
      </c>
      <c r="B14">
        <v>23</v>
      </c>
      <c r="C14">
        <v>23</v>
      </c>
      <c r="D14">
        <v>0</v>
      </c>
      <c r="E14">
        <v>0</v>
      </c>
      <c r="F14">
        <v>0</v>
      </c>
      <c r="G14">
        <v>23</v>
      </c>
      <c r="H14">
        <v>23</v>
      </c>
      <c r="I14">
        <v>23</v>
      </c>
      <c r="J14">
        <v>0</v>
      </c>
      <c r="K14">
        <v>0</v>
      </c>
      <c r="L14">
        <v>0</v>
      </c>
      <c r="M14">
        <v>23</v>
      </c>
      <c r="N14">
        <v>23</v>
      </c>
      <c r="O14">
        <v>0</v>
      </c>
      <c r="P14">
        <v>0</v>
      </c>
      <c r="Q14">
        <v>0</v>
      </c>
      <c r="R14">
        <v>0</v>
      </c>
      <c r="S14">
        <v>23</v>
      </c>
      <c r="T14">
        <v>0</v>
      </c>
      <c r="U14">
        <v>0</v>
      </c>
      <c r="V14">
        <v>5</v>
      </c>
    </row>
    <row r="15" spans="1:22" x14ac:dyDescent="0.3">
      <c r="A15" s="14">
        <v>103</v>
      </c>
      <c r="B15">
        <v>3</v>
      </c>
      <c r="C15">
        <v>3</v>
      </c>
      <c r="D15">
        <v>0</v>
      </c>
      <c r="E15">
        <v>0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 s="14">
        <v>107</v>
      </c>
      <c r="B16">
        <v>2</v>
      </c>
      <c r="C16">
        <v>2</v>
      </c>
      <c r="D16">
        <v>1</v>
      </c>
      <c r="E16">
        <v>1</v>
      </c>
      <c r="F16">
        <v>1</v>
      </c>
      <c r="G16">
        <v>2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</row>
    <row r="17" spans="1:22" x14ac:dyDescent="0.3">
      <c r="A17" s="14">
        <v>109</v>
      </c>
      <c r="B17">
        <v>3</v>
      </c>
      <c r="C17">
        <v>3</v>
      </c>
      <c r="D17">
        <v>0</v>
      </c>
      <c r="E17">
        <v>0</v>
      </c>
      <c r="F17">
        <v>3</v>
      </c>
      <c r="G17">
        <v>3</v>
      </c>
      <c r="H17">
        <v>3</v>
      </c>
      <c r="I17">
        <v>3</v>
      </c>
      <c r="J17">
        <v>3</v>
      </c>
      <c r="K17">
        <v>0</v>
      </c>
      <c r="L17">
        <v>0</v>
      </c>
      <c r="M17">
        <v>3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 s="14">
        <v>113</v>
      </c>
      <c r="B18">
        <v>3</v>
      </c>
      <c r="C18">
        <v>3</v>
      </c>
      <c r="D18">
        <v>3</v>
      </c>
      <c r="E18">
        <v>3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  <c r="L18">
        <v>2</v>
      </c>
      <c r="M18">
        <v>0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 s="14">
        <v>126</v>
      </c>
      <c r="B19">
        <v>2</v>
      </c>
      <c r="C19">
        <v>2</v>
      </c>
      <c r="D19">
        <v>0</v>
      </c>
      <c r="E19">
        <v>0</v>
      </c>
      <c r="F19">
        <v>0</v>
      </c>
      <c r="G19">
        <v>0</v>
      </c>
      <c r="H19">
        <v>2</v>
      </c>
      <c r="I19">
        <v>2</v>
      </c>
      <c r="J19">
        <v>0</v>
      </c>
      <c r="K19">
        <v>0</v>
      </c>
      <c r="L19">
        <v>0</v>
      </c>
      <c r="M19">
        <v>2</v>
      </c>
      <c r="N19">
        <v>2</v>
      </c>
      <c r="O19">
        <v>0</v>
      </c>
      <c r="P19">
        <v>2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</row>
    <row r="20" spans="1:22" x14ac:dyDescent="0.3">
      <c r="A20" s="14">
        <v>132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 s="14">
        <v>136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</row>
    <row r="22" spans="1:22" x14ac:dyDescent="0.3">
      <c r="A22" s="14">
        <v>149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0</v>
      </c>
      <c r="K22">
        <v>5</v>
      </c>
      <c r="L22">
        <v>5</v>
      </c>
      <c r="M22">
        <v>5</v>
      </c>
      <c r="N22">
        <v>5</v>
      </c>
      <c r="O22">
        <v>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 s="14">
        <v>152</v>
      </c>
      <c r="B23">
        <v>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s="14">
        <v>158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 s="14">
        <v>164</v>
      </c>
      <c r="B25">
        <v>12</v>
      </c>
      <c r="C25">
        <v>12</v>
      </c>
      <c r="D25">
        <v>2</v>
      </c>
      <c r="E25">
        <v>2</v>
      </c>
      <c r="F25">
        <v>0</v>
      </c>
      <c r="G25">
        <v>7</v>
      </c>
      <c r="H25">
        <v>2</v>
      </c>
      <c r="I25">
        <v>2</v>
      </c>
      <c r="J25">
        <v>0</v>
      </c>
      <c r="K25">
        <v>2</v>
      </c>
      <c r="L25">
        <v>2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11</v>
      </c>
      <c r="T25">
        <v>0</v>
      </c>
      <c r="U25">
        <v>0</v>
      </c>
      <c r="V25">
        <v>3</v>
      </c>
    </row>
    <row r="26" spans="1:22" x14ac:dyDescent="0.3">
      <c r="A26" s="14">
        <v>193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s="14">
        <v>203</v>
      </c>
      <c r="B27">
        <v>2</v>
      </c>
      <c r="C27">
        <v>2</v>
      </c>
      <c r="D27">
        <v>0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s="14">
        <v>221</v>
      </c>
      <c r="B28">
        <v>2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s="14">
        <v>243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</row>
    <row r="30" spans="1:22" x14ac:dyDescent="0.3">
      <c r="A30" s="14">
        <v>267</v>
      </c>
      <c r="B30">
        <v>5</v>
      </c>
      <c r="C30">
        <v>5</v>
      </c>
      <c r="D30">
        <v>2</v>
      </c>
      <c r="E30">
        <v>2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</row>
    <row r="31" spans="1:22" x14ac:dyDescent="0.3">
      <c r="A31" s="14">
        <v>338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 s="14">
        <v>388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</row>
    <row r="33" spans="1:22" x14ac:dyDescent="0.3">
      <c r="A33" s="14">
        <v>409</v>
      </c>
      <c r="B33">
        <v>8</v>
      </c>
      <c r="C33">
        <v>8</v>
      </c>
      <c r="D33">
        <v>0</v>
      </c>
      <c r="E33">
        <v>0</v>
      </c>
      <c r="F33">
        <v>8</v>
      </c>
      <c r="G33">
        <v>0</v>
      </c>
      <c r="H33">
        <v>0</v>
      </c>
      <c r="I33">
        <v>0</v>
      </c>
      <c r="J33">
        <v>0</v>
      </c>
      <c r="K33">
        <v>8</v>
      </c>
      <c r="L33">
        <v>7</v>
      </c>
      <c r="M33">
        <v>0</v>
      </c>
      <c r="N33">
        <v>0</v>
      </c>
      <c r="O33">
        <v>0</v>
      </c>
      <c r="P33">
        <v>0</v>
      </c>
      <c r="Q33">
        <v>8</v>
      </c>
      <c r="R33">
        <v>0</v>
      </c>
      <c r="S33">
        <v>0</v>
      </c>
      <c r="T33">
        <v>8</v>
      </c>
      <c r="U33">
        <v>8</v>
      </c>
      <c r="V33">
        <v>0</v>
      </c>
    </row>
    <row r="34" spans="1:22" x14ac:dyDescent="0.3">
      <c r="A34" s="14">
        <v>471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</row>
    <row r="35" spans="1:22" x14ac:dyDescent="0.3">
      <c r="A35" s="14">
        <v>516</v>
      </c>
      <c r="B35">
        <v>2</v>
      </c>
      <c r="C35">
        <v>2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 x14ac:dyDescent="0.3">
      <c r="A36" s="14">
        <v>570</v>
      </c>
      <c r="B36">
        <v>2</v>
      </c>
      <c r="C36">
        <v>2</v>
      </c>
      <c r="D36">
        <v>0</v>
      </c>
      <c r="E36">
        <v>0</v>
      </c>
      <c r="F36">
        <v>2</v>
      </c>
      <c r="G36">
        <v>0</v>
      </c>
      <c r="H36">
        <v>2</v>
      </c>
      <c r="I36">
        <v>1</v>
      </c>
      <c r="J36">
        <v>0</v>
      </c>
      <c r="K36">
        <v>1</v>
      </c>
      <c r="L36">
        <v>1</v>
      </c>
      <c r="M36">
        <v>2</v>
      </c>
      <c r="N36">
        <v>2</v>
      </c>
      <c r="O36">
        <v>1</v>
      </c>
      <c r="P36">
        <v>2</v>
      </c>
      <c r="Q36">
        <v>2</v>
      </c>
      <c r="R36">
        <v>2</v>
      </c>
      <c r="S36">
        <v>0</v>
      </c>
      <c r="T36">
        <v>0</v>
      </c>
      <c r="U36">
        <v>0</v>
      </c>
      <c r="V36">
        <v>1</v>
      </c>
    </row>
    <row r="37" spans="1:22" x14ac:dyDescent="0.3">
      <c r="A37" s="14">
        <v>575</v>
      </c>
      <c r="B37">
        <v>1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</row>
    <row r="38" spans="1:22" x14ac:dyDescent="0.3">
      <c r="A38" s="14">
        <v>602</v>
      </c>
      <c r="B38">
        <v>4</v>
      </c>
      <c r="C38">
        <v>4</v>
      </c>
      <c r="D38">
        <v>4</v>
      </c>
      <c r="E38">
        <v>4</v>
      </c>
      <c r="F38">
        <v>4</v>
      </c>
      <c r="G38">
        <v>0</v>
      </c>
      <c r="H38">
        <v>0</v>
      </c>
      <c r="I38">
        <v>0</v>
      </c>
      <c r="J38">
        <v>0</v>
      </c>
      <c r="K38">
        <v>4</v>
      </c>
      <c r="L38">
        <v>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</v>
      </c>
      <c r="T38">
        <v>0</v>
      </c>
      <c r="U38">
        <v>0</v>
      </c>
      <c r="V38">
        <v>0</v>
      </c>
    </row>
    <row r="39" spans="1:22" x14ac:dyDescent="0.3">
      <c r="A39" s="14">
        <v>622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0</v>
      </c>
      <c r="K39">
        <v>2</v>
      </c>
      <c r="L39">
        <v>2</v>
      </c>
      <c r="M39">
        <v>2</v>
      </c>
      <c r="N39">
        <v>2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 s="14">
        <v>821</v>
      </c>
      <c r="B40">
        <v>6</v>
      </c>
      <c r="C40">
        <v>6</v>
      </c>
      <c r="D40">
        <v>5</v>
      </c>
      <c r="E40">
        <v>5</v>
      </c>
      <c r="F40">
        <v>0</v>
      </c>
      <c r="G40">
        <v>5</v>
      </c>
      <c r="H40">
        <v>4</v>
      </c>
      <c r="I40">
        <v>4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4</v>
      </c>
      <c r="Q40">
        <v>0</v>
      </c>
      <c r="R40">
        <v>0</v>
      </c>
      <c r="S40">
        <v>4</v>
      </c>
      <c r="T40">
        <v>0</v>
      </c>
      <c r="U40">
        <v>0</v>
      </c>
      <c r="V40">
        <v>1</v>
      </c>
    </row>
    <row r="41" spans="1:22" x14ac:dyDescent="0.3">
      <c r="A41" s="14">
        <v>973</v>
      </c>
      <c r="B41">
        <v>4</v>
      </c>
      <c r="C41">
        <v>4</v>
      </c>
      <c r="D41">
        <v>4</v>
      </c>
      <c r="E41">
        <v>4</v>
      </c>
      <c r="F41">
        <v>0</v>
      </c>
      <c r="G41">
        <v>4</v>
      </c>
      <c r="H41">
        <v>4</v>
      </c>
      <c r="I41">
        <v>4</v>
      </c>
      <c r="J41">
        <v>0</v>
      </c>
      <c r="K41">
        <v>4</v>
      </c>
      <c r="L41">
        <v>4</v>
      </c>
      <c r="M41">
        <v>4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</row>
    <row r="42" spans="1:22" x14ac:dyDescent="0.3">
      <c r="A42" s="14">
        <v>976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s="14">
        <v>1093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</row>
    <row r="44" spans="1:22" x14ac:dyDescent="0.3">
      <c r="A44" s="14">
        <v>1136</v>
      </c>
      <c r="B44">
        <v>1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 s="14">
        <v>1438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 s="14">
        <v>1463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 s="14">
        <v>1464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 s="14">
        <v>1470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 x14ac:dyDescent="0.3">
      <c r="A49" s="14">
        <v>1828</v>
      </c>
      <c r="B49">
        <v>4</v>
      </c>
      <c r="C49">
        <v>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 s="14">
        <v>1866</v>
      </c>
      <c r="B50">
        <v>3</v>
      </c>
      <c r="C50">
        <v>3</v>
      </c>
      <c r="D50">
        <v>1</v>
      </c>
      <c r="E50">
        <v>1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 x14ac:dyDescent="0.3">
      <c r="A51" s="14">
        <v>1904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 s="14">
        <v>1905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</row>
    <row r="53" spans="1:22" x14ac:dyDescent="0.3">
      <c r="A53" s="14">
        <v>1906</v>
      </c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</row>
    <row r="54" spans="1:22" x14ac:dyDescent="0.3">
      <c r="A54" s="14">
        <v>1909</v>
      </c>
      <c r="B54">
        <v>1</v>
      </c>
      <c r="C54">
        <v>1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</row>
    <row r="55" spans="1:22" x14ac:dyDescent="0.3">
      <c r="A55" s="14">
        <v>1910</v>
      </c>
      <c r="B55">
        <v>4</v>
      </c>
      <c r="C55">
        <v>4</v>
      </c>
      <c r="D55">
        <v>4</v>
      </c>
      <c r="E55">
        <v>4</v>
      </c>
      <c r="F55">
        <v>0</v>
      </c>
      <c r="G55">
        <v>4</v>
      </c>
      <c r="H55">
        <v>0</v>
      </c>
      <c r="I55">
        <v>0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 s="14">
        <v>2029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 s="14">
        <v>2177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</v>
      </c>
    </row>
    <row r="58" spans="1:22" x14ac:dyDescent="0.3">
      <c r="A58" s="14">
        <v>2199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 s="14">
        <v>2214</v>
      </c>
      <c r="B59">
        <v>1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s="14">
        <v>2215</v>
      </c>
      <c r="B60">
        <v>3</v>
      </c>
      <c r="C60">
        <v>3</v>
      </c>
      <c r="D60">
        <v>0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 s="14">
        <v>2227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 s="14" t="s">
        <v>198</v>
      </c>
      <c r="B62">
        <v>30</v>
      </c>
      <c r="C62">
        <v>29</v>
      </c>
      <c r="D62">
        <v>14</v>
      </c>
      <c r="E62">
        <v>14</v>
      </c>
      <c r="F62">
        <v>11</v>
      </c>
      <c r="G62">
        <v>15</v>
      </c>
      <c r="H62">
        <v>5</v>
      </c>
      <c r="I62">
        <v>5</v>
      </c>
      <c r="J62">
        <v>10</v>
      </c>
      <c r="K62">
        <v>10</v>
      </c>
      <c r="L62">
        <v>9</v>
      </c>
      <c r="M62">
        <v>8</v>
      </c>
      <c r="N62">
        <v>8</v>
      </c>
      <c r="O62">
        <v>2</v>
      </c>
      <c r="P62">
        <v>8</v>
      </c>
      <c r="Q62">
        <v>9</v>
      </c>
      <c r="R62">
        <v>4</v>
      </c>
      <c r="S62">
        <v>5</v>
      </c>
      <c r="T62">
        <v>8</v>
      </c>
      <c r="U62">
        <v>3</v>
      </c>
      <c r="V62">
        <v>7</v>
      </c>
    </row>
    <row r="63" spans="1:22" x14ac:dyDescent="0.3">
      <c r="A63" s="14" t="s">
        <v>1419</v>
      </c>
      <c r="B63">
        <v>372</v>
      </c>
      <c r="C63">
        <v>370</v>
      </c>
      <c r="D63">
        <v>227</v>
      </c>
      <c r="E63">
        <v>225</v>
      </c>
      <c r="F63">
        <v>215</v>
      </c>
      <c r="G63">
        <v>207</v>
      </c>
      <c r="H63">
        <v>188</v>
      </c>
      <c r="I63">
        <v>185</v>
      </c>
      <c r="J63">
        <v>174</v>
      </c>
      <c r="K63">
        <v>152</v>
      </c>
      <c r="L63">
        <v>145</v>
      </c>
      <c r="M63">
        <v>126</v>
      </c>
      <c r="N63">
        <v>126</v>
      </c>
      <c r="O63">
        <v>122</v>
      </c>
      <c r="P63">
        <v>120</v>
      </c>
      <c r="Q63">
        <v>112</v>
      </c>
      <c r="R63">
        <v>105</v>
      </c>
      <c r="S63">
        <v>102</v>
      </c>
      <c r="T63">
        <v>93</v>
      </c>
      <c r="U63">
        <v>77</v>
      </c>
      <c r="V63">
        <v>74</v>
      </c>
    </row>
    <row r="79" spans="2:23" x14ac:dyDescent="0.3">
      <c r="B79" t="s">
        <v>1442</v>
      </c>
      <c r="C79" t="s">
        <v>1443</v>
      </c>
      <c r="D79" t="s">
        <v>1423</v>
      </c>
      <c r="E79" t="s">
        <v>1426</v>
      </c>
      <c r="F79" t="s">
        <v>1424</v>
      </c>
      <c r="G79" t="s">
        <v>1430</v>
      </c>
      <c r="H79" t="s">
        <v>1434</v>
      </c>
      <c r="I79" t="s">
        <v>1437</v>
      </c>
      <c r="J79" t="s">
        <v>1438</v>
      </c>
      <c r="K79" t="s">
        <v>1433</v>
      </c>
      <c r="L79" t="s">
        <v>1435</v>
      </c>
      <c r="M79" t="s">
        <v>1436</v>
      </c>
      <c r="N79" t="s">
        <v>1429</v>
      </c>
      <c r="O79" t="s">
        <v>1439</v>
      </c>
      <c r="P79" t="s">
        <v>1427</v>
      </c>
      <c r="Q79" t="s">
        <v>1425</v>
      </c>
      <c r="R79" t="s">
        <v>1421</v>
      </c>
      <c r="S79" t="s">
        <v>1431</v>
      </c>
      <c r="T79" t="s">
        <v>1422</v>
      </c>
      <c r="U79" t="s">
        <v>1420</v>
      </c>
      <c r="V79" t="s">
        <v>1432</v>
      </c>
      <c r="W79" t="s">
        <v>1428</v>
      </c>
    </row>
    <row r="80" spans="2:23" x14ac:dyDescent="0.3">
      <c r="B80">
        <v>1</v>
      </c>
      <c r="C80">
        <v>64</v>
      </c>
      <c r="D80">
        <v>63</v>
      </c>
      <c r="E80">
        <v>52</v>
      </c>
      <c r="F80">
        <v>52</v>
      </c>
      <c r="G80">
        <v>57</v>
      </c>
      <c r="H80">
        <v>51</v>
      </c>
      <c r="I80">
        <v>29</v>
      </c>
      <c r="J80">
        <v>29</v>
      </c>
      <c r="K80">
        <v>48</v>
      </c>
      <c r="L80">
        <v>59</v>
      </c>
      <c r="M80">
        <v>55</v>
      </c>
      <c r="N80">
        <v>49</v>
      </c>
      <c r="O80">
        <v>49</v>
      </c>
      <c r="P80">
        <v>28</v>
      </c>
      <c r="Q80">
        <v>47</v>
      </c>
      <c r="R80">
        <v>59</v>
      </c>
      <c r="S80">
        <v>0</v>
      </c>
      <c r="T80">
        <v>16</v>
      </c>
      <c r="U80">
        <v>57</v>
      </c>
      <c r="V80">
        <v>64</v>
      </c>
      <c r="W80">
        <v>36</v>
      </c>
    </row>
    <row r="81" spans="2:23" x14ac:dyDescent="0.3">
      <c r="B81">
        <v>2</v>
      </c>
      <c r="C81">
        <v>101</v>
      </c>
      <c r="D81">
        <v>101</v>
      </c>
      <c r="E81">
        <v>99</v>
      </c>
      <c r="F81">
        <v>99</v>
      </c>
      <c r="G81">
        <v>87</v>
      </c>
      <c r="H81">
        <v>36</v>
      </c>
      <c r="I81">
        <v>78</v>
      </c>
      <c r="J81">
        <v>76</v>
      </c>
      <c r="K81">
        <v>90</v>
      </c>
      <c r="L81">
        <v>44</v>
      </c>
      <c r="M81">
        <v>46</v>
      </c>
      <c r="N81">
        <v>13</v>
      </c>
      <c r="O81">
        <v>13</v>
      </c>
      <c r="P81">
        <v>74</v>
      </c>
      <c r="Q81">
        <v>42</v>
      </c>
      <c r="R81">
        <v>32</v>
      </c>
      <c r="S81">
        <v>99</v>
      </c>
      <c r="T81">
        <v>1</v>
      </c>
      <c r="U81">
        <v>20</v>
      </c>
      <c r="V81">
        <v>0</v>
      </c>
      <c r="W81">
        <v>3</v>
      </c>
    </row>
    <row r="82" spans="2:23" x14ac:dyDescent="0.3">
      <c r="B82">
        <v>10</v>
      </c>
      <c r="C82">
        <v>11</v>
      </c>
      <c r="D82">
        <v>11</v>
      </c>
      <c r="E82">
        <v>1</v>
      </c>
      <c r="F82">
        <v>1</v>
      </c>
      <c r="G82">
        <v>9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6</v>
      </c>
      <c r="U82">
        <v>0</v>
      </c>
      <c r="V82">
        <v>0</v>
      </c>
      <c r="W82">
        <v>6</v>
      </c>
    </row>
    <row r="83" spans="2:23" x14ac:dyDescent="0.3">
      <c r="B83">
        <v>25</v>
      </c>
      <c r="C83">
        <v>11</v>
      </c>
      <c r="D83">
        <v>11</v>
      </c>
      <c r="E83">
        <v>10</v>
      </c>
      <c r="F83">
        <v>10</v>
      </c>
      <c r="G83">
        <v>11</v>
      </c>
      <c r="H83">
        <v>11</v>
      </c>
      <c r="I83">
        <v>6</v>
      </c>
      <c r="J83">
        <v>6</v>
      </c>
      <c r="K83">
        <v>4</v>
      </c>
      <c r="L83">
        <v>6</v>
      </c>
      <c r="M83">
        <v>4</v>
      </c>
      <c r="N83">
        <v>0</v>
      </c>
      <c r="O83">
        <v>0</v>
      </c>
      <c r="P83">
        <v>6</v>
      </c>
      <c r="Q83">
        <v>5</v>
      </c>
      <c r="R83">
        <v>0</v>
      </c>
      <c r="S83">
        <v>0</v>
      </c>
      <c r="T83">
        <v>5</v>
      </c>
      <c r="U83">
        <v>0</v>
      </c>
      <c r="V83">
        <v>0</v>
      </c>
      <c r="W83">
        <v>0</v>
      </c>
    </row>
    <row r="84" spans="2:23" x14ac:dyDescent="0.3">
      <c r="B84">
        <v>85</v>
      </c>
      <c r="C84">
        <v>23</v>
      </c>
      <c r="D84">
        <v>23</v>
      </c>
      <c r="E84">
        <v>0</v>
      </c>
      <c r="F84">
        <v>0</v>
      </c>
      <c r="G84">
        <v>0</v>
      </c>
      <c r="H84">
        <v>23</v>
      </c>
      <c r="I84">
        <v>23</v>
      </c>
      <c r="J84">
        <v>23</v>
      </c>
      <c r="K84">
        <v>0</v>
      </c>
      <c r="L84">
        <v>0</v>
      </c>
      <c r="M84">
        <v>0</v>
      </c>
      <c r="N84">
        <v>23</v>
      </c>
      <c r="O84">
        <v>23</v>
      </c>
      <c r="P84">
        <v>0</v>
      </c>
      <c r="Q84">
        <v>0</v>
      </c>
      <c r="R84">
        <v>0</v>
      </c>
      <c r="S84">
        <v>0</v>
      </c>
      <c r="T84">
        <v>23</v>
      </c>
      <c r="U84">
        <v>0</v>
      </c>
      <c r="V84">
        <v>0</v>
      </c>
      <c r="W84">
        <v>5</v>
      </c>
    </row>
    <row r="85" spans="2:23" x14ac:dyDescent="0.3">
      <c r="B85">
        <v>164</v>
      </c>
      <c r="C85">
        <v>12</v>
      </c>
      <c r="D85">
        <v>12</v>
      </c>
      <c r="E85">
        <v>2</v>
      </c>
      <c r="F85">
        <v>2</v>
      </c>
      <c r="G85">
        <v>0</v>
      </c>
      <c r="H85">
        <v>7</v>
      </c>
      <c r="I85">
        <v>2</v>
      </c>
      <c r="J85">
        <v>2</v>
      </c>
      <c r="K85">
        <v>0</v>
      </c>
      <c r="L85">
        <v>2</v>
      </c>
      <c r="M85">
        <v>2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11</v>
      </c>
      <c r="U85">
        <v>0</v>
      </c>
      <c r="V85">
        <v>0</v>
      </c>
      <c r="W85">
        <v>3</v>
      </c>
    </row>
    <row r="92" spans="2:23" x14ac:dyDescent="0.3">
      <c r="C92" s="3"/>
      <c r="D92" s="3"/>
      <c r="E92" s="3"/>
      <c r="F92" s="3"/>
      <c r="G92" s="3"/>
      <c r="H92" s="3"/>
      <c r="I92" s="3"/>
      <c r="J92" s="3"/>
      <c r="L92" s="3"/>
      <c r="O92" s="3"/>
      <c r="P92" s="3"/>
      <c r="Q92" s="3"/>
      <c r="R92" s="3"/>
      <c r="S92" s="3"/>
      <c r="T92" s="3"/>
      <c r="U92" s="3"/>
    </row>
    <row r="93" spans="2:23" x14ac:dyDescent="0.3">
      <c r="C93" s="3"/>
      <c r="D93" s="3"/>
      <c r="E93" s="3"/>
      <c r="F93" s="3"/>
      <c r="G93" s="3"/>
      <c r="H93" s="3"/>
      <c r="I93" s="3"/>
      <c r="J93" s="3"/>
      <c r="L93" s="3"/>
      <c r="O93" s="3"/>
      <c r="P93" s="3"/>
      <c r="Q93" s="3"/>
      <c r="R93" s="3"/>
      <c r="S93" s="3"/>
      <c r="T93" s="3"/>
      <c r="U93" s="3"/>
    </row>
    <row r="94" spans="2:23" x14ac:dyDescent="0.3">
      <c r="C94" s="3"/>
      <c r="D94" s="3"/>
      <c r="E94" s="3"/>
      <c r="F94" s="3"/>
      <c r="G94" s="3"/>
      <c r="H94" s="3"/>
      <c r="I94" s="3"/>
      <c r="J94" s="3"/>
      <c r="L94" s="3"/>
      <c r="O94" s="3"/>
      <c r="P94" s="3"/>
      <c r="Q94" s="3"/>
      <c r="R94" s="3"/>
      <c r="S94" s="3"/>
      <c r="T94" s="3"/>
      <c r="U94" s="3"/>
    </row>
    <row r="95" spans="2:23" x14ac:dyDescent="0.3">
      <c r="C95" s="3"/>
      <c r="D95" s="3"/>
      <c r="E95" s="3"/>
      <c r="F95" s="3"/>
      <c r="G95" s="3"/>
      <c r="H95" s="3"/>
      <c r="I95" s="3"/>
      <c r="J95" s="3"/>
      <c r="L95" s="3"/>
      <c r="O95" s="3"/>
      <c r="P95" s="3"/>
      <c r="Q95" s="3"/>
      <c r="R95" s="3"/>
      <c r="S95" s="3"/>
      <c r="T95" s="3"/>
      <c r="U95" s="3"/>
    </row>
    <row r="96" spans="2:23" x14ac:dyDescent="0.3">
      <c r="C96" s="3"/>
      <c r="D96" s="3"/>
      <c r="E96" s="3"/>
      <c r="F96" s="3"/>
      <c r="G96" s="3"/>
      <c r="H96" s="3"/>
      <c r="I96" s="3"/>
      <c r="J96" s="3"/>
      <c r="L96" s="3"/>
      <c r="O96" s="3"/>
      <c r="P96" s="3"/>
      <c r="Q96" s="3"/>
      <c r="R96" s="3"/>
      <c r="S96" s="3"/>
      <c r="T96" s="3"/>
      <c r="U96" s="3"/>
    </row>
    <row r="97" spans="3:21" x14ac:dyDescent="0.3">
      <c r="C97" s="3"/>
      <c r="D97" s="3"/>
      <c r="E97" s="3"/>
      <c r="F97" s="3"/>
      <c r="G97" s="3"/>
      <c r="H97" s="3"/>
      <c r="I97" s="3"/>
      <c r="J97" s="3"/>
      <c r="L97" s="3"/>
      <c r="O97" s="3"/>
      <c r="P97" s="3"/>
      <c r="Q97" s="3"/>
      <c r="R97" s="3"/>
      <c r="S97" s="3"/>
      <c r="T97" s="3"/>
      <c r="U97" s="3"/>
    </row>
    <row r="124" spans="3:22" x14ac:dyDescent="0.3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3:22" x14ac:dyDescent="0.3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3:22" x14ac:dyDescent="0.3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3:22" x14ac:dyDescent="0.3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3:22" x14ac:dyDescent="0.3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3:22" x14ac:dyDescent="0.3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</sheetData>
  <conditionalFormatting sqref="C124:V129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8E7C-11AE-443C-9C3E-A817930BE986}">
  <dimension ref="A2:I17"/>
  <sheetViews>
    <sheetView tabSelected="1" workbookViewId="0">
      <selection activeCell="A3" sqref="A3:I17"/>
    </sheetView>
  </sheetViews>
  <sheetFormatPr defaultRowHeight="14.4" x14ac:dyDescent="0.3"/>
  <sheetData>
    <row r="2" spans="1:9" ht="15" thickBot="1" x14ac:dyDescent="0.35"/>
    <row r="3" spans="1:9" ht="28.2" thickBot="1" x14ac:dyDescent="0.35">
      <c r="A3" s="18" t="s">
        <v>1442</v>
      </c>
      <c r="B3" s="18" t="s">
        <v>1459</v>
      </c>
      <c r="C3" s="18" t="s">
        <v>33</v>
      </c>
      <c r="D3" s="18" t="s">
        <v>103</v>
      </c>
      <c r="E3" s="18" t="s">
        <v>92</v>
      </c>
      <c r="F3" s="18" t="s">
        <v>115</v>
      </c>
      <c r="G3" s="18" t="s">
        <v>118</v>
      </c>
      <c r="H3" s="18" t="s">
        <v>41</v>
      </c>
      <c r="I3" s="18" t="s">
        <v>159</v>
      </c>
    </row>
    <row r="4" spans="1:9" ht="15" thickBot="1" x14ac:dyDescent="0.35">
      <c r="A4" s="18" t="s">
        <v>1445</v>
      </c>
      <c r="B4" s="19">
        <v>101</v>
      </c>
      <c r="C4" s="19">
        <v>101</v>
      </c>
      <c r="D4" s="19">
        <v>87</v>
      </c>
      <c r="E4" s="19">
        <v>13</v>
      </c>
      <c r="F4" s="18">
        <v>99</v>
      </c>
      <c r="G4" s="19">
        <v>0</v>
      </c>
      <c r="H4" s="19">
        <v>74</v>
      </c>
      <c r="I4" s="19">
        <v>90</v>
      </c>
    </row>
    <row r="5" spans="1:9" ht="15" thickBot="1" x14ac:dyDescent="0.35">
      <c r="A5" s="18" t="s">
        <v>1444</v>
      </c>
      <c r="B5" s="19">
        <v>64</v>
      </c>
      <c r="C5" s="19">
        <v>63</v>
      </c>
      <c r="D5" s="19">
        <v>57</v>
      </c>
      <c r="E5" s="19">
        <v>49</v>
      </c>
      <c r="F5" s="19">
        <v>0</v>
      </c>
      <c r="G5" s="18">
        <v>64</v>
      </c>
      <c r="H5" s="19">
        <v>28</v>
      </c>
      <c r="I5" s="19">
        <v>48</v>
      </c>
    </row>
    <row r="6" spans="1:9" ht="15" thickBot="1" x14ac:dyDescent="0.35">
      <c r="A6" s="18" t="s">
        <v>1448</v>
      </c>
      <c r="B6" s="19">
        <v>23</v>
      </c>
      <c r="C6" s="19">
        <v>23</v>
      </c>
      <c r="D6" s="19">
        <v>0</v>
      </c>
      <c r="E6" s="18">
        <v>23</v>
      </c>
      <c r="F6" s="19">
        <v>0</v>
      </c>
      <c r="G6" s="19">
        <v>0</v>
      </c>
      <c r="H6" s="19">
        <v>0</v>
      </c>
      <c r="I6" s="19">
        <v>0</v>
      </c>
    </row>
    <row r="7" spans="1:9" ht="15" thickBot="1" x14ac:dyDescent="0.35">
      <c r="A7" s="18" t="s">
        <v>1449</v>
      </c>
      <c r="B7" s="19">
        <v>12</v>
      </c>
      <c r="C7" s="19">
        <v>12</v>
      </c>
      <c r="D7" s="19">
        <v>0</v>
      </c>
      <c r="E7" s="19">
        <v>1</v>
      </c>
      <c r="F7" s="19">
        <v>0</v>
      </c>
      <c r="G7" s="19">
        <v>0</v>
      </c>
      <c r="H7" s="19">
        <v>0</v>
      </c>
      <c r="I7" s="19">
        <v>0</v>
      </c>
    </row>
    <row r="8" spans="1:9" ht="15" thickBot="1" x14ac:dyDescent="0.35">
      <c r="A8" s="18" t="s">
        <v>1446</v>
      </c>
      <c r="B8" s="19">
        <v>11</v>
      </c>
      <c r="C8" s="19">
        <v>11</v>
      </c>
      <c r="D8" s="19">
        <v>9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</row>
    <row r="9" spans="1:9" ht="15" thickBot="1" x14ac:dyDescent="0.35">
      <c r="A9" s="18" t="s">
        <v>1447</v>
      </c>
      <c r="B9" s="19">
        <v>11</v>
      </c>
      <c r="C9" s="19">
        <v>11</v>
      </c>
      <c r="D9" s="19">
        <v>11</v>
      </c>
      <c r="E9" s="19">
        <v>0</v>
      </c>
      <c r="F9" s="19">
        <v>0</v>
      </c>
      <c r="G9" s="19">
        <v>0</v>
      </c>
      <c r="H9" s="19">
        <v>6</v>
      </c>
      <c r="I9" s="19">
        <v>4</v>
      </c>
    </row>
    <row r="10" spans="1:9" ht="15" thickBot="1" x14ac:dyDescent="0.35">
      <c r="A10" s="18" t="s">
        <v>1460</v>
      </c>
      <c r="B10" s="19">
        <v>9</v>
      </c>
      <c r="C10" s="19">
        <v>9</v>
      </c>
      <c r="D10" s="19">
        <v>0</v>
      </c>
      <c r="E10" s="19">
        <v>5</v>
      </c>
      <c r="F10" s="19">
        <v>0</v>
      </c>
      <c r="G10" s="19">
        <v>0</v>
      </c>
      <c r="H10" s="19">
        <v>0</v>
      </c>
      <c r="I10" s="19">
        <v>0</v>
      </c>
    </row>
    <row r="11" spans="1:9" ht="15" thickBot="1" x14ac:dyDescent="0.35">
      <c r="A11" s="18" t="s">
        <v>1461</v>
      </c>
      <c r="B11" s="19">
        <v>8</v>
      </c>
      <c r="C11" s="19">
        <v>8</v>
      </c>
      <c r="D11" s="19">
        <v>8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</row>
    <row r="12" spans="1:9" ht="15" thickBot="1" x14ac:dyDescent="0.35">
      <c r="A12" s="18" t="s">
        <v>1462</v>
      </c>
      <c r="B12" s="19">
        <v>6</v>
      </c>
      <c r="C12" s="19">
        <v>6</v>
      </c>
      <c r="D12" s="19">
        <v>0</v>
      </c>
      <c r="E12" s="19">
        <v>1</v>
      </c>
      <c r="F12" s="19">
        <v>0</v>
      </c>
      <c r="G12" s="19">
        <v>0</v>
      </c>
      <c r="H12" s="19">
        <v>0</v>
      </c>
      <c r="I12" s="19">
        <v>0</v>
      </c>
    </row>
    <row r="13" spans="1:9" ht="15" thickBot="1" x14ac:dyDescent="0.35">
      <c r="A13" s="18" t="s">
        <v>1463</v>
      </c>
      <c r="B13" s="19">
        <v>5</v>
      </c>
      <c r="C13" s="19">
        <v>5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</row>
    <row r="14" spans="1:9" ht="15" thickBot="1" x14ac:dyDescent="0.35">
      <c r="A14" s="18" t="s">
        <v>1464</v>
      </c>
      <c r="B14" s="19">
        <v>5</v>
      </c>
      <c r="C14" s="19">
        <v>5</v>
      </c>
      <c r="D14" s="19">
        <v>5</v>
      </c>
      <c r="E14" s="19">
        <v>5</v>
      </c>
      <c r="F14" s="19">
        <v>0</v>
      </c>
      <c r="G14" s="19">
        <v>0</v>
      </c>
      <c r="H14" s="19">
        <v>5</v>
      </c>
      <c r="I14" s="19">
        <v>0</v>
      </c>
    </row>
    <row r="15" spans="1:9" ht="28.2" thickBot="1" x14ac:dyDescent="0.35">
      <c r="A15" s="18" t="s">
        <v>1465</v>
      </c>
      <c r="B15" s="19">
        <v>87</v>
      </c>
      <c r="C15" s="19">
        <v>87</v>
      </c>
      <c r="D15" s="19">
        <v>27</v>
      </c>
      <c r="E15" s="19">
        <v>21</v>
      </c>
      <c r="F15" s="19">
        <v>2</v>
      </c>
      <c r="G15" s="19">
        <v>10</v>
      </c>
      <c r="H15" s="19">
        <v>1</v>
      </c>
      <c r="I15" s="19">
        <v>21</v>
      </c>
    </row>
    <row r="16" spans="1:9" ht="42" thickBot="1" x14ac:dyDescent="0.35">
      <c r="A16" s="18" t="s">
        <v>1466</v>
      </c>
      <c r="B16" s="19">
        <v>30</v>
      </c>
      <c r="C16" s="19">
        <v>29</v>
      </c>
      <c r="D16" s="19">
        <v>11</v>
      </c>
      <c r="E16" s="19">
        <v>8</v>
      </c>
      <c r="F16" s="19">
        <v>4</v>
      </c>
      <c r="G16" s="19">
        <v>3</v>
      </c>
      <c r="H16" s="19">
        <v>2</v>
      </c>
      <c r="I16" s="19">
        <v>10</v>
      </c>
    </row>
    <row r="17" spans="1:9" ht="28.2" thickBot="1" x14ac:dyDescent="0.35">
      <c r="A17" s="18" t="s">
        <v>1419</v>
      </c>
      <c r="B17" s="18">
        <v>372</v>
      </c>
      <c r="C17" s="18">
        <v>370</v>
      </c>
      <c r="D17" s="18">
        <v>215</v>
      </c>
      <c r="E17" s="18">
        <v>126</v>
      </c>
      <c r="F17" s="18">
        <v>105</v>
      </c>
      <c r="G17" s="18">
        <v>77</v>
      </c>
      <c r="H17" s="18">
        <v>122</v>
      </c>
      <c r="I17" s="18">
        <v>174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88D3-3C60-495B-9A48-352D4AA650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208A-2472-4FEC-9561-76653D658D74}">
  <dimension ref="A5:U21"/>
  <sheetViews>
    <sheetView topLeftCell="L1" zoomScale="94" zoomScaleNormal="47" workbookViewId="0">
      <selection activeCell="X40" sqref="X40"/>
    </sheetView>
  </sheetViews>
  <sheetFormatPr defaultRowHeight="14.4" x14ac:dyDescent="0.3"/>
  <cols>
    <col min="1" max="1" width="12.44140625" style="16" bestFit="1" customWidth="1"/>
    <col min="2" max="2" width="10.21875" style="16" bestFit="1" customWidth="1"/>
    <col min="3" max="3" width="11.44140625" style="16" bestFit="1" customWidth="1"/>
    <col min="4" max="4" width="10.21875" style="16" bestFit="1" customWidth="1"/>
    <col min="5" max="5" width="11.44140625" style="16" bestFit="1" customWidth="1"/>
    <col min="6" max="6" width="8.88671875" style="16"/>
    <col min="7" max="7" width="10.44140625" style="16" bestFit="1" customWidth="1"/>
    <col min="8" max="16" width="8.88671875" style="16"/>
    <col min="17" max="17" width="11.44140625" style="16" bestFit="1" customWidth="1"/>
    <col min="18" max="18" width="9.6640625" style="16" bestFit="1" customWidth="1"/>
    <col min="19" max="19" width="9.21875" style="16" bestFit="1" customWidth="1"/>
    <col min="20" max="20" width="11.44140625" style="16" bestFit="1" customWidth="1"/>
    <col min="21" max="16384" width="8.88671875" style="16"/>
  </cols>
  <sheetData>
    <row r="5" spans="1:21" x14ac:dyDescent="0.3">
      <c r="A5" s="16" t="s">
        <v>1442</v>
      </c>
      <c r="B5" s="16" t="s">
        <v>33</v>
      </c>
      <c r="C5" s="16" t="s">
        <v>40</v>
      </c>
      <c r="D5" s="16" t="s">
        <v>34</v>
      </c>
      <c r="E5" s="16" t="s">
        <v>103</v>
      </c>
      <c r="F5" s="16" t="s">
        <v>156</v>
      </c>
      <c r="G5" s="16" t="s">
        <v>151</v>
      </c>
      <c r="H5" s="16" t="s">
        <v>150</v>
      </c>
      <c r="I5" s="16" t="s">
        <v>159</v>
      </c>
      <c r="J5" s="16" t="s">
        <v>155</v>
      </c>
      <c r="K5" s="16" t="s">
        <v>153</v>
      </c>
      <c r="L5" s="16" t="s">
        <v>92</v>
      </c>
      <c r="M5" s="16" t="s">
        <v>134</v>
      </c>
      <c r="N5" s="16" t="s">
        <v>41</v>
      </c>
      <c r="O5" s="16" t="s">
        <v>35</v>
      </c>
      <c r="P5" s="16" t="s">
        <v>30</v>
      </c>
      <c r="Q5" s="16" t="s">
        <v>115</v>
      </c>
      <c r="R5" s="16" t="s">
        <v>32</v>
      </c>
      <c r="S5" s="16" t="s">
        <v>24</v>
      </c>
      <c r="T5" s="16" t="s">
        <v>118</v>
      </c>
      <c r="U5" s="16" t="s">
        <v>44</v>
      </c>
    </row>
    <row r="6" spans="1:21" x14ac:dyDescent="0.3">
      <c r="A6" s="16">
        <v>1</v>
      </c>
      <c r="B6" s="17">
        <v>0.984375</v>
      </c>
      <c r="C6" s="17">
        <v>0.8125</v>
      </c>
      <c r="D6" s="17">
        <v>0.8125</v>
      </c>
      <c r="E6" s="17">
        <v>0.890625</v>
      </c>
      <c r="F6" s="17">
        <v>0.796875</v>
      </c>
      <c r="G6" s="17">
        <v>0.453125</v>
      </c>
      <c r="H6" s="17">
        <v>0.453125</v>
      </c>
      <c r="I6" s="17">
        <v>0.75</v>
      </c>
      <c r="J6" s="17">
        <v>0.921875</v>
      </c>
      <c r="K6" s="17">
        <v>0.859375</v>
      </c>
      <c r="L6" s="17">
        <v>0.765625</v>
      </c>
      <c r="M6" s="17">
        <v>0.765625</v>
      </c>
      <c r="N6" s="17">
        <v>0.4375</v>
      </c>
      <c r="O6" s="17">
        <v>0.734375</v>
      </c>
      <c r="P6" s="17">
        <v>0.921875</v>
      </c>
      <c r="Q6" s="17">
        <v>0</v>
      </c>
      <c r="R6" s="17">
        <v>0.25</v>
      </c>
      <c r="S6" s="17">
        <v>0.890625</v>
      </c>
      <c r="T6" s="17">
        <v>1</v>
      </c>
      <c r="U6" s="17">
        <v>0.5625</v>
      </c>
    </row>
    <row r="7" spans="1:21" x14ac:dyDescent="0.3">
      <c r="A7" s="16">
        <v>2</v>
      </c>
      <c r="B7" s="17">
        <v>1</v>
      </c>
      <c r="C7" s="17">
        <v>0.98019801980198018</v>
      </c>
      <c r="D7" s="17">
        <v>0.98019801980198018</v>
      </c>
      <c r="E7" s="17">
        <v>0.86138613861386137</v>
      </c>
      <c r="F7" s="17">
        <v>0.35643564356435642</v>
      </c>
      <c r="G7" s="17">
        <v>0.7722772277227723</v>
      </c>
      <c r="H7" s="17">
        <v>0.75247524752475248</v>
      </c>
      <c r="I7" s="17">
        <v>0.8910891089108911</v>
      </c>
      <c r="J7" s="17">
        <v>0.43564356435643564</v>
      </c>
      <c r="K7" s="17">
        <v>0.45544554455445546</v>
      </c>
      <c r="L7" s="17">
        <v>0.12871287128712872</v>
      </c>
      <c r="M7" s="17">
        <v>0.12871287128712872</v>
      </c>
      <c r="N7" s="17">
        <v>0.73267326732673266</v>
      </c>
      <c r="O7" s="17">
        <v>0.41584158415841582</v>
      </c>
      <c r="P7" s="17">
        <v>0.31683168316831684</v>
      </c>
      <c r="Q7" s="17">
        <v>0.98019801980198018</v>
      </c>
      <c r="R7" s="17">
        <v>9.9009900990099011E-3</v>
      </c>
      <c r="S7" s="17">
        <v>0.19801980198019803</v>
      </c>
      <c r="T7" s="17">
        <v>0</v>
      </c>
      <c r="U7" s="17">
        <v>2.9702970297029702E-2</v>
      </c>
    </row>
    <row r="8" spans="1:21" x14ac:dyDescent="0.3">
      <c r="A8" s="16">
        <v>10</v>
      </c>
      <c r="B8" s="17">
        <v>1</v>
      </c>
      <c r="C8" s="17">
        <v>9.0909090909090912E-2</v>
      </c>
      <c r="D8" s="17">
        <v>9.0909090909090912E-2</v>
      </c>
      <c r="E8" s="17">
        <v>0.81818181818181823</v>
      </c>
      <c r="F8" s="17">
        <v>9.0909090909090912E-2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9.0909090909090912E-2</v>
      </c>
      <c r="Q8" s="17">
        <v>0</v>
      </c>
      <c r="R8" s="17">
        <v>0.54545454545454541</v>
      </c>
      <c r="S8" s="17">
        <v>0</v>
      </c>
      <c r="T8" s="17">
        <v>0</v>
      </c>
      <c r="U8" s="17">
        <v>0.54545454545454541</v>
      </c>
    </row>
    <row r="9" spans="1:21" x14ac:dyDescent="0.3">
      <c r="A9" s="16">
        <v>25</v>
      </c>
      <c r="B9" s="17">
        <v>1</v>
      </c>
      <c r="C9" s="17">
        <v>0.90909090909090906</v>
      </c>
      <c r="D9" s="17">
        <v>0.90909090909090906</v>
      </c>
      <c r="E9" s="17">
        <v>1</v>
      </c>
      <c r="F9" s="17">
        <v>1</v>
      </c>
      <c r="G9" s="17">
        <v>0.54545454545454541</v>
      </c>
      <c r="H9" s="17">
        <v>0.54545454545454541</v>
      </c>
      <c r="I9" s="17">
        <v>0.36363636363636365</v>
      </c>
      <c r="J9" s="17">
        <v>0.54545454545454541</v>
      </c>
      <c r="K9" s="17">
        <v>0.36363636363636365</v>
      </c>
      <c r="L9" s="17">
        <v>0</v>
      </c>
      <c r="M9" s="17">
        <v>0</v>
      </c>
      <c r="N9" s="17">
        <v>0.54545454545454541</v>
      </c>
      <c r="O9" s="17">
        <v>0.45454545454545453</v>
      </c>
      <c r="P9" s="17">
        <v>0</v>
      </c>
      <c r="Q9" s="17">
        <v>0</v>
      </c>
      <c r="R9" s="17">
        <v>0.45454545454545453</v>
      </c>
      <c r="S9" s="17">
        <v>0</v>
      </c>
      <c r="T9" s="17">
        <v>0</v>
      </c>
      <c r="U9" s="17">
        <v>0</v>
      </c>
    </row>
    <row r="10" spans="1:21" x14ac:dyDescent="0.3">
      <c r="A10" s="16">
        <v>85</v>
      </c>
      <c r="B10" s="17">
        <v>1</v>
      </c>
      <c r="C10" s="17">
        <v>0</v>
      </c>
      <c r="D10" s="17">
        <v>0</v>
      </c>
      <c r="E10" s="17">
        <v>0</v>
      </c>
      <c r="F10" s="17">
        <v>1</v>
      </c>
      <c r="G10" s="17">
        <v>1</v>
      </c>
      <c r="H10" s="17">
        <v>1</v>
      </c>
      <c r="I10" s="17">
        <v>0</v>
      </c>
      <c r="J10" s="17">
        <v>0</v>
      </c>
      <c r="K10" s="17">
        <v>0</v>
      </c>
      <c r="L10" s="17">
        <v>1</v>
      </c>
      <c r="M10" s="17">
        <v>1</v>
      </c>
      <c r="N10" s="17">
        <v>0</v>
      </c>
      <c r="O10" s="17">
        <v>0</v>
      </c>
      <c r="P10" s="17">
        <v>0</v>
      </c>
      <c r="Q10" s="17">
        <v>0</v>
      </c>
      <c r="R10" s="17">
        <v>1</v>
      </c>
      <c r="S10" s="17">
        <v>0</v>
      </c>
      <c r="T10" s="17">
        <v>0</v>
      </c>
      <c r="U10" s="17">
        <v>0.21739130434782608</v>
      </c>
    </row>
    <row r="11" spans="1:21" x14ac:dyDescent="0.3">
      <c r="A11" s="16">
        <v>164</v>
      </c>
      <c r="B11" s="17">
        <v>1</v>
      </c>
      <c r="C11" s="17">
        <v>0.16666666666666666</v>
      </c>
      <c r="D11" s="17">
        <v>0.16666666666666666</v>
      </c>
      <c r="E11" s="17">
        <v>0</v>
      </c>
      <c r="F11" s="17">
        <v>0.58333333333333337</v>
      </c>
      <c r="G11" s="17">
        <v>0.16666666666666666</v>
      </c>
      <c r="H11" s="17">
        <v>0.16666666666666666</v>
      </c>
      <c r="I11" s="17">
        <v>0</v>
      </c>
      <c r="J11" s="17">
        <v>0.16666666666666666</v>
      </c>
      <c r="K11" s="17">
        <v>0.16666666666666666</v>
      </c>
      <c r="L11" s="17">
        <v>8.3333333333333329E-2</v>
      </c>
      <c r="M11" s="17">
        <v>8.3333333333333329E-2</v>
      </c>
      <c r="N11" s="17">
        <v>0</v>
      </c>
      <c r="O11" s="17">
        <v>0</v>
      </c>
      <c r="P11" s="17">
        <v>0</v>
      </c>
      <c r="Q11" s="17">
        <v>0</v>
      </c>
      <c r="R11" s="17">
        <v>0.91666666666666663</v>
      </c>
      <c r="S11" s="17">
        <v>0</v>
      </c>
      <c r="T11" s="17">
        <v>0</v>
      </c>
      <c r="U11" s="17">
        <v>0.25</v>
      </c>
    </row>
    <row r="15" spans="1:21" x14ac:dyDescent="0.3">
      <c r="A15" s="16" t="s">
        <v>1442</v>
      </c>
      <c r="B15" s="16" t="s">
        <v>33</v>
      </c>
      <c r="C15" s="16" t="s">
        <v>103</v>
      </c>
      <c r="D15" s="16" t="s">
        <v>156</v>
      </c>
      <c r="E15" s="16" t="s">
        <v>151</v>
      </c>
      <c r="F15" s="16" t="s">
        <v>159</v>
      </c>
      <c r="G15" s="16" t="s">
        <v>92</v>
      </c>
      <c r="H15" s="16" t="s">
        <v>41</v>
      </c>
    </row>
    <row r="16" spans="1:21" x14ac:dyDescent="0.3">
      <c r="A16" s="16" t="s">
        <v>1444</v>
      </c>
      <c r="B16" s="17">
        <v>0.984375</v>
      </c>
      <c r="C16" s="17">
        <v>0.890625</v>
      </c>
      <c r="D16" s="17">
        <v>0.796875</v>
      </c>
      <c r="E16" s="17">
        <v>0.453125</v>
      </c>
      <c r="F16" s="17">
        <v>0.75</v>
      </c>
      <c r="G16" s="17">
        <v>0.765625</v>
      </c>
      <c r="H16" s="17">
        <v>0.4375</v>
      </c>
    </row>
    <row r="17" spans="1:8" x14ac:dyDescent="0.3">
      <c r="A17" s="16" t="s">
        <v>1445</v>
      </c>
      <c r="B17" s="17">
        <v>1</v>
      </c>
      <c r="C17" s="17">
        <v>0.86138613861386137</v>
      </c>
      <c r="D17" s="17">
        <v>0.35643564356435642</v>
      </c>
      <c r="E17" s="17">
        <v>0.7722772277227723</v>
      </c>
      <c r="F17" s="17">
        <v>0.8910891089108911</v>
      </c>
      <c r="G17" s="17">
        <v>0.12871287128712872</v>
      </c>
      <c r="H17" s="17">
        <v>0.73267326732673266</v>
      </c>
    </row>
    <row r="18" spans="1:8" x14ac:dyDescent="0.3">
      <c r="A18" s="16" t="s">
        <v>1446</v>
      </c>
      <c r="B18" s="17">
        <v>1</v>
      </c>
      <c r="C18" s="17">
        <v>0.81818181818181823</v>
      </c>
      <c r="D18" s="17">
        <v>9.0909090909090912E-2</v>
      </c>
      <c r="E18" s="17">
        <v>0</v>
      </c>
      <c r="F18" s="17">
        <v>0</v>
      </c>
      <c r="G18" s="17">
        <v>0</v>
      </c>
      <c r="H18" s="17">
        <v>0</v>
      </c>
    </row>
    <row r="19" spans="1:8" x14ac:dyDescent="0.3">
      <c r="A19" s="16" t="s">
        <v>1447</v>
      </c>
      <c r="B19" s="17">
        <v>1</v>
      </c>
      <c r="C19" s="17">
        <v>1</v>
      </c>
      <c r="D19" s="17">
        <v>1</v>
      </c>
      <c r="E19" s="17">
        <v>0.54545454545454541</v>
      </c>
      <c r="F19" s="17">
        <v>0.36363636363636365</v>
      </c>
      <c r="G19" s="17">
        <v>0</v>
      </c>
      <c r="H19" s="17">
        <v>0.54545454545454541</v>
      </c>
    </row>
    <row r="20" spans="1:8" x14ac:dyDescent="0.3">
      <c r="A20" s="16" t="s">
        <v>1448</v>
      </c>
      <c r="B20" s="17">
        <v>1</v>
      </c>
      <c r="C20" s="17">
        <v>0</v>
      </c>
      <c r="D20" s="17">
        <v>1</v>
      </c>
      <c r="E20" s="17">
        <v>1</v>
      </c>
      <c r="F20" s="17">
        <v>0</v>
      </c>
      <c r="G20" s="17">
        <v>1</v>
      </c>
      <c r="H20" s="17">
        <v>0</v>
      </c>
    </row>
    <row r="21" spans="1:8" x14ac:dyDescent="0.3">
      <c r="A21" s="16" t="s">
        <v>1449</v>
      </c>
      <c r="B21" s="17">
        <v>1</v>
      </c>
      <c r="C21" s="17">
        <v>0</v>
      </c>
      <c r="D21" s="17">
        <v>0.58333333333333337</v>
      </c>
      <c r="E21" s="17">
        <v>0.16666666666666666</v>
      </c>
      <c r="F21" s="17">
        <v>0</v>
      </c>
      <c r="G21" s="17">
        <v>8.3333333333333329E-2</v>
      </c>
      <c r="H21" s="17">
        <v>0</v>
      </c>
    </row>
  </sheetData>
  <conditionalFormatting sqref="B6:U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microreact_metadata_final</vt:lpstr>
      <vt:lpstr>Sheet3</vt:lpstr>
      <vt:lpstr>Geographical view</vt:lpstr>
      <vt:lpstr>Sheet5</vt:lpstr>
      <vt:lpstr>Sheet1</vt:lpstr>
      <vt:lpstr>Prevalence</vt:lpstr>
      <vt:lpstr>Temporal view</vt:lpstr>
      <vt:lpstr>Sheet6</vt:lpstr>
      <vt:lpstr>AMR genes &amp; lineages</vt:lpstr>
      <vt:lpstr>Sheet7</vt:lpstr>
      <vt:lpstr>Sheet4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Marionel Ezeigwe</cp:lastModifiedBy>
  <dcterms:created xsi:type="dcterms:W3CDTF">2025-10-27T12:34:48Z</dcterms:created>
  <dcterms:modified xsi:type="dcterms:W3CDTF">2026-01-06T08:56:00Z</dcterms:modified>
</cp:coreProperties>
</file>